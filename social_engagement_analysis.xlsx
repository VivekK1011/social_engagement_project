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'Data'!$A$1:$T$121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Date</t>
        </is>
      </c>
      <c r="C1" s="1" t="inlineStr">
        <is>
          <t>Topic</t>
        </is>
      </c>
      <c r="D1" s="1" t="inlineStr">
        <is>
          <t>Content_Type</t>
        </is>
      </c>
      <c r="E1" s="1" t="inlineStr">
        <is>
          <t>Hook_Type</t>
        </is>
      </c>
      <c r="F1" s="1" t="inlineStr">
        <is>
          <t>Posting_Time</t>
        </is>
      </c>
      <c r="G1" s="1" t="inlineStr">
        <is>
          <t>Caption_Style</t>
        </is>
      </c>
      <c r="H1" s="1" t="inlineStr">
        <is>
          <t>Video_Length_sec</t>
        </is>
      </c>
      <c r="I1" s="1" t="inlineStr">
        <is>
          <t>Impressions</t>
        </is>
      </c>
      <c r="J1" s="1" t="inlineStr">
        <is>
          <t>Likes</t>
        </is>
      </c>
      <c r="K1" s="1" t="inlineStr">
        <is>
          <t>Shares</t>
        </is>
      </c>
      <c r="L1" s="1" t="inlineStr">
        <is>
          <t>Saves</t>
        </is>
      </c>
      <c r="M1" s="1" t="inlineStr">
        <is>
          <t>Comments_Count</t>
        </is>
      </c>
      <c r="N1" s="1" t="inlineStr">
        <is>
          <t>Retention_Rate</t>
        </is>
      </c>
      <c r="O1" s="1" t="inlineStr">
        <is>
          <t>Comment_Text</t>
        </is>
      </c>
      <c r="P1" s="1" t="inlineStr">
        <is>
          <t>Engagement_Rate</t>
        </is>
      </c>
      <c r="Q1" s="1" t="inlineStr">
        <is>
          <t>Viral_Coefficient</t>
        </is>
      </c>
      <c r="R1" s="1" t="inlineStr">
        <is>
          <t>Save_to_Share_Ratio</t>
        </is>
      </c>
      <c r="S1" s="1" t="inlineStr">
        <is>
          <t>Eligibility</t>
        </is>
      </c>
      <c r="T1" s="1" t="inlineStr">
        <is>
          <t>Grade</t>
        </is>
      </c>
    </row>
    <row r="2">
      <c r="A2" t="inlineStr">
        <is>
          <t>P001</t>
        </is>
      </c>
      <c r="B2" s="2" t="n">
        <v>46023</v>
      </c>
      <c r="C2" t="inlineStr">
        <is>
          <t>Self Confidence</t>
        </is>
      </c>
      <c r="D2" t="inlineStr">
        <is>
          <t>Short Video</t>
        </is>
      </c>
      <c r="E2" t="inlineStr">
        <is>
          <t>Text</t>
        </is>
      </c>
      <c r="F2" t="inlineStr">
        <is>
          <t>Night</t>
        </is>
      </c>
      <c r="G2" t="inlineStr">
        <is>
          <t>Question</t>
        </is>
      </c>
      <c r="H2" t="n">
        <v>59</v>
      </c>
      <c r="I2" t="n">
        <v>23384</v>
      </c>
      <c r="J2" t="n">
        <v>1039</v>
      </c>
      <c r="K2" t="n">
        <v>287</v>
      </c>
      <c r="L2" t="n">
        <v>271</v>
      </c>
      <c r="M2" t="n">
        <v>127</v>
      </c>
      <c r="N2" t="n">
        <v>0.762</v>
      </c>
      <c r="O2" t="inlineStr">
        <is>
          <t>This is exactly what I struggle with.</t>
        </is>
      </c>
      <c r="P2">
        <f>IFERROR((J2+K2+L2+M2)/I2,0)</f>
        <v/>
      </c>
      <c r="Q2">
        <f>IFERROR((2*K2+2*L2+J2)/I2,0)</f>
        <v/>
      </c>
      <c r="R2">
        <f>IFERROR(L2/K2,0)</f>
        <v/>
      </c>
      <c r="S2">
        <f>IF(AND(P2&gt;=0.10,Q2&gt;=0.08,N2&gt;=0.60),"Eligible","Not Eligible")</f>
        <v/>
      </c>
      <c r="T2">
        <f>IFS(P2&gt;=0.20,"A+",P2&gt;=0.15,"A",P2&gt;=0.10,"B",P2&gt;=0.05,"C",TRUE,"D")</f>
        <v/>
      </c>
    </row>
    <row r="3">
      <c r="A3" t="inlineStr">
        <is>
          <t>P002</t>
        </is>
      </c>
      <c r="B3" s="2" t="n">
        <v>46024</v>
      </c>
      <c r="C3" t="inlineStr">
        <is>
          <t>Overthinking</t>
        </is>
      </c>
      <c r="D3" t="inlineStr">
        <is>
          <t>Short Video</t>
        </is>
      </c>
      <c r="E3" t="inlineStr">
        <is>
          <t>Visual</t>
        </is>
      </c>
      <c r="F3" t="inlineStr">
        <is>
          <t>Afternoon</t>
        </is>
      </c>
      <c r="G3" t="inlineStr">
        <is>
          <t>Story</t>
        </is>
      </c>
      <c r="H3" t="n">
        <v>25</v>
      </c>
      <c r="I3" t="n">
        <v>37606</v>
      </c>
      <c r="J3" t="n">
        <v>2691</v>
      </c>
      <c r="K3" t="n">
        <v>745</v>
      </c>
      <c r="L3" t="n">
        <v>703</v>
      </c>
      <c r="M3" t="n">
        <v>331</v>
      </c>
      <c r="N3" t="n">
        <v>0.728</v>
      </c>
      <c r="O3" t="inlineStr">
        <is>
          <t>Good information and advice.</t>
        </is>
      </c>
      <c r="P3">
        <f>IFERROR((J3+K3+L3+M3)/I3,0)</f>
        <v/>
      </c>
      <c r="Q3">
        <f>IFERROR((2*K3+2*L3+J3)/I3,0)</f>
        <v/>
      </c>
      <c r="R3">
        <f>IFERROR(L3/K3,0)</f>
        <v/>
      </c>
      <c r="S3">
        <f>IF(AND(P3&gt;=0.10,Q3&gt;=0.08,N3&gt;=0.60),"Eligible","Not Eligible")</f>
        <v/>
      </c>
      <c r="T3">
        <f>IFS(P3&gt;=0.20,"A+",P3&gt;=0.15,"A",P3&gt;=0.10,"B",P3&gt;=0.05,"C",TRUE,"D")</f>
        <v/>
      </c>
    </row>
    <row r="4">
      <c r="A4" t="inlineStr">
        <is>
          <t>P003</t>
        </is>
      </c>
      <c r="B4" s="2" t="n">
        <v>46025</v>
      </c>
      <c r="C4" t="inlineStr">
        <is>
          <t>Social Anxiety</t>
        </is>
      </c>
      <c r="D4" t="inlineStr">
        <is>
          <t>Carousel</t>
        </is>
      </c>
      <c r="E4" t="inlineStr">
        <is>
          <t>Visual</t>
        </is>
      </c>
      <c r="F4" t="inlineStr">
        <is>
          <t>Morning</t>
        </is>
      </c>
      <c r="G4" t="inlineStr">
        <is>
          <t>Advice</t>
        </is>
      </c>
      <c r="H4" t="n">
        <v/>
      </c>
      <c r="I4" t="n">
        <v>14860</v>
      </c>
      <c r="J4" t="n">
        <v>1372</v>
      </c>
      <c r="K4" t="n">
        <v>380</v>
      </c>
      <c r="L4" t="n">
        <v>358</v>
      </c>
      <c r="M4" t="n">
        <v>168</v>
      </c>
      <c r="N4" t="n">
        <v>0.573</v>
      </c>
      <c r="O4" t="inlineStr">
        <is>
          <t>This is exactly how I feel in social situations.</t>
        </is>
      </c>
      <c r="P4">
        <f>IFERROR((J4+K4+L4+M4)/I4,0)</f>
        <v/>
      </c>
      <c r="Q4">
        <f>IFERROR((2*K4+2*L4+J4)/I4,0)</f>
        <v/>
      </c>
      <c r="R4">
        <f>IFERROR(L4/K4,0)</f>
        <v/>
      </c>
      <c r="S4">
        <f>IF(AND(P4&gt;=0.10,Q4&gt;=0.08,N4&gt;=0.60),"Eligible","Not Eligible")</f>
        <v/>
      </c>
      <c r="T4">
        <f>IFS(P4&gt;=0.20,"A+",P4&gt;=0.15,"A",P4&gt;=0.10,"B",P4&gt;=0.05,"C",TRUE,"D")</f>
        <v/>
      </c>
    </row>
    <row r="5">
      <c r="A5" t="inlineStr">
        <is>
          <t>P004</t>
        </is>
      </c>
      <c r="B5" s="2" t="n">
        <v>46026</v>
      </c>
      <c r="C5" t="inlineStr">
        <is>
          <t>Self Confidence</t>
        </is>
      </c>
      <c r="D5" t="inlineStr">
        <is>
          <t>Short Video</t>
        </is>
      </c>
      <c r="E5" t="inlineStr">
        <is>
          <t>Text</t>
        </is>
      </c>
      <c r="F5" t="inlineStr">
        <is>
          <t>Afternoon</t>
        </is>
      </c>
      <c r="G5" t="inlineStr">
        <is>
          <t>Advice</t>
        </is>
      </c>
      <c r="H5" t="n">
        <v>50</v>
      </c>
      <c r="I5" t="n">
        <v>43757</v>
      </c>
      <c r="J5" t="n">
        <v>4208</v>
      </c>
      <c r="K5" t="n">
        <v>1165</v>
      </c>
      <c r="L5" t="n">
        <v>1100</v>
      </c>
      <c r="M5" t="n">
        <v>517</v>
      </c>
      <c r="N5" t="n">
        <v>0.821</v>
      </c>
      <c r="O5" t="inlineStr">
        <is>
          <t>Helpful advice, thank you.</t>
        </is>
      </c>
      <c r="P5">
        <f>IFERROR((J5+K5+L5+M5)/I5,0)</f>
        <v/>
      </c>
      <c r="Q5">
        <f>IFERROR((2*K5+2*L5+J5)/I5,0)</f>
        <v/>
      </c>
      <c r="R5">
        <f>IFERROR(L5/K5,0)</f>
        <v/>
      </c>
      <c r="S5">
        <f>IF(AND(P5&gt;=0.10,Q5&gt;=0.08,N5&gt;=0.60),"Eligible","Not Eligible")</f>
        <v/>
      </c>
      <c r="T5">
        <f>IFS(P5&gt;=0.20,"A+",P5&gt;=0.15,"A",P5&gt;=0.10,"B",P5&gt;=0.05,"C",TRUE,"D")</f>
        <v/>
      </c>
    </row>
    <row r="6">
      <c r="A6" t="inlineStr">
        <is>
          <t>P005</t>
        </is>
      </c>
      <c r="B6" s="2" t="n">
        <v>46027</v>
      </c>
      <c r="C6" t="inlineStr">
        <is>
          <t>Self Confidence</t>
        </is>
      </c>
      <c r="D6" t="inlineStr">
        <is>
          <t>Short Video</t>
        </is>
      </c>
      <c r="E6" t="inlineStr">
        <is>
          <t>Visual</t>
        </is>
      </c>
      <c r="F6" t="inlineStr">
        <is>
          <t>Morning</t>
        </is>
      </c>
      <c r="G6" t="inlineStr">
        <is>
          <t>Advice</t>
        </is>
      </c>
      <c r="H6" t="n">
        <v>39</v>
      </c>
      <c r="I6" t="n">
        <v>20106</v>
      </c>
      <c r="J6" t="n">
        <v>2097</v>
      </c>
      <c r="K6" t="n">
        <v>580</v>
      </c>
      <c r="L6" t="n">
        <v>548</v>
      </c>
      <c r="M6" t="n">
        <v>258</v>
      </c>
      <c r="N6" t="n">
        <v>0.529</v>
      </c>
      <c r="O6" t="inlineStr">
        <is>
          <t>I don't personally relate to this.</t>
        </is>
      </c>
      <c r="P6">
        <f>IFERROR((J6+K6+L6+M6)/I6,0)</f>
        <v/>
      </c>
      <c r="Q6">
        <f>IFERROR((2*K6+2*L6+J6)/I6,0)</f>
        <v/>
      </c>
      <c r="R6">
        <f>IFERROR(L6/K6,0)</f>
        <v/>
      </c>
      <c r="S6">
        <f>IF(AND(P6&gt;=0.10,Q6&gt;=0.08,N6&gt;=0.60),"Eligible","Not Eligible")</f>
        <v/>
      </c>
      <c r="T6">
        <f>IFS(P6&gt;=0.20,"A+",P6&gt;=0.15,"A",P6&gt;=0.10,"B",P6&gt;=0.05,"C",TRUE,"D")</f>
        <v/>
      </c>
    </row>
    <row r="7">
      <c r="A7" t="inlineStr">
        <is>
          <t>P006</t>
        </is>
      </c>
      <c r="B7" s="2" t="n">
        <v>46028</v>
      </c>
      <c r="C7" t="inlineStr">
        <is>
          <t>Overthinking</t>
        </is>
      </c>
      <c r="D7" t="inlineStr">
        <is>
          <t>Long Video</t>
        </is>
      </c>
      <c r="E7" t="inlineStr">
        <is>
          <t>Visual</t>
        </is>
      </c>
      <c r="F7" t="inlineStr">
        <is>
          <t>Afternoon</t>
        </is>
      </c>
      <c r="G7" t="inlineStr">
        <is>
          <t>Question</t>
        </is>
      </c>
      <c r="H7" t="n">
        <v>118</v>
      </c>
      <c r="I7" t="n">
        <v>28574</v>
      </c>
      <c r="J7" t="n">
        <v>2489</v>
      </c>
      <c r="K7" t="n">
        <v>689</v>
      </c>
      <c r="L7" t="n">
        <v>651</v>
      </c>
      <c r="M7" t="n">
        <v>306</v>
      </c>
      <c r="N7" t="n">
        <v>0.7</v>
      </c>
      <c r="O7" t="inlineStr">
        <is>
          <t>My brain does this all the time.</t>
        </is>
      </c>
      <c r="P7">
        <f>IFERROR((J7+K7+L7+M7)/I7,0)</f>
        <v/>
      </c>
      <c r="Q7">
        <f>IFERROR((2*K7+2*L7+J7)/I7,0)</f>
        <v/>
      </c>
      <c r="R7">
        <f>IFERROR(L7/K7,0)</f>
        <v/>
      </c>
      <c r="S7">
        <f>IF(AND(P7&gt;=0.10,Q7&gt;=0.08,N7&gt;=0.60),"Eligible","Not Eligible")</f>
        <v/>
      </c>
      <c r="T7">
        <f>IFS(P7&gt;=0.20,"A+",P7&gt;=0.15,"A",P7&gt;=0.10,"B",P7&gt;=0.05,"C",TRUE,"D")</f>
        <v/>
      </c>
    </row>
    <row r="8">
      <c r="A8" t="inlineStr">
        <is>
          <t>P007</t>
        </is>
      </c>
      <c r="B8" s="2" t="n">
        <v>46029</v>
      </c>
      <c r="C8" t="inlineStr">
        <is>
          <t>Social Anxiety</t>
        </is>
      </c>
      <c r="D8" t="inlineStr">
        <is>
          <t>Short Video</t>
        </is>
      </c>
      <c r="E8" t="inlineStr">
        <is>
          <t>Text</t>
        </is>
      </c>
      <c r="F8" t="inlineStr">
        <is>
          <t>Evening</t>
        </is>
      </c>
      <c r="G8" t="inlineStr">
        <is>
          <t>Story</t>
        </is>
      </c>
      <c r="H8" t="n">
        <v>50</v>
      </c>
      <c r="I8" t="n">
        <v>28524</v>
      </c>
      <c r="J8" t="n">
        <v>3146</v>
      </c>
      <c r="K8" t="n">
        <v>871</v>
      </c>
      <c r="L8" t="n">
        <v>822</v>
      </c>
      <c r="M8" t="n">
        <v>387</v>
      </c>
      <c r="N8" t="n">
        <v>0.747</v>
      </c>
      <c r="O8" t="inlineStr">
        <is>
          <t>Good post but I do not relate to this.</t>
        </is>
      </c>
      <c r="P8">
        <f>IFERROR((J8+K8+L8+M8)/I8,0)</f>
        <v/>
      </c>
      <c r="Q8">
        <f>IFERROR((2*K8+2*L8+J8)/I8,0)</f>
        <v/>
      </c>
      <c r="R8">
        <f>IFERROR(L8/K8,0)</f>
        <v/>
      </c>
      <c r="S8">
        <f>IF(AND(P8&gt;=0.10,Q8&gt;=0.08,N8&gt;=0.60),"Eligible","Not Eligible")</f>
        <v/>
      </c>
      <c r="T8">
        <f>IFS(P8&gt;=0.20,"A+",P8&gt;=0.15,"A",P8&gt;=0.10,"B",P8&gt;=0.05,"C",TRUE,"D")</f>
        <v/>
      </c>
    </row>
    <row r="9">
      <c r="A9" t="inlineStr">
        <is>
          <t>P008</t>
        </is>
      </c>
      <c r="B9" s="2" t="n">
        <v>46030</v>
      </c>
      <c r="C9" t="inlineStr">
        <is>
          <t>Social Anxiety</t>
        </is>
      </c>
      <c r="D9" t="inlineStr">
        <is>
          <t>Carousel</t>
        </is>
      </c>
      <c r="E9" t="inlineStr">
        <is>
          <t>Text</t>
        </is>
      </c>
      <c r="F9" t="inlineStr">
        <is>
          <t>Night</t>
        </is>
      </c>
      <c r="G9" t="inlineStr">
        <is>
          <t>Story</t>
        </is>
      </c>
      <c r="H9" t="n">
        <v/>
      </c>
      <c r="I9" t="n">
        <v>8636</v>
      </c>
      <c r="J9" t="n">
        <v>915</v>
      </c>
      <c r="K9" t="n">
        <v>253</v>
      </c>
      <c r="L9" t="n">
        <v>239</v>
      </c>
      <c r="M9" t="n">
        <v>112</v>
      </c>
      <c r="N9" t="n">
        <v>0.58</v>
      </c>
      <c r="O9" t="inlineStr">
        <is>
          <t>I thought I was the only one experiencing this.</t>
        </is>
      </c>
      <c r="P9">
        <f>IFERROR((J9+K9+L9+M9)/I9,0)</f>
        <v/>
      </c>
      <c r="Q9">
        <f>IFERROR((2*K9+2*L9+J9)/I9,0)</f>
        <v/>
      </c>
      <c r="R9">
        <f>IFERROR(L9/K9,0)</f>
        <v/>
      </c>
      <c r="S9">
        <f>IF(AND(P9&gt;=0.10,Q9&gt;=0.08,N9&gt;=0.60),"Eligible","Not Eligible")</f>
        <v/>
      </c>
      <c r="T9">
        <f>IFS(P9&gt;=0.20,"A+",P9&gt;=0.15,"A",P9&gt;=0.10,"B",P9&gt;=0.05,"C",TRUE,"D")</f>
        <v/>
      </c>
    </row>
    <row r="10">
      <c r="A10" t="inlineStr">
        <is>
          <t>P009</t>
        </is>
      </c>
      <c r="B10" s="2" t="n">
        <v>46031</v>
      </c>
      <c r="C10" t="inlineStr">
        <is>
          <t>Self Confidence</t>
        </is>
      </c>
      <c r="D10" t="inlineStr">
        <is>
          <t>Short Video</t>
        </is>
      </c>
      <c r="E10" t="inlineStr">
        <is>
          <t>Visual</t>
        </is>
      </c>
      <c r="F10" t="inlineStr">
        <is>
          <t>Morning</t>
        </is>
      </c>
      <c r="G10" t="inlineStr">
        <is>
          <t>Story</t>
        </is>
      </c>
      <c r="H10" t="n">
        <v>51</v>
      </c>
      <c r="I10" t="n">
        <v>15916</v>
      </c>
      <c r="J10" t="n">
        <v>806</v>
      </c>
      <c r="K10" t="n">
        <v>223</v>
      </c>
      <c r="L10" t="n">
        <v>210</v>
      </c>
      <c r="M10" t="n">
        <v>99</v>
      </c>
      <c r="N10" t="n">
        <v>0.712</v>
      </c>
      <c r="O10" t="inlineStr">
        <is>
          <t>I needed to hear this today.</t>
        </is>
      </c>
      <c r="P10">
        <f>IFERROR((J10+K10+L10+M10)/I10,0)</f>
        <v/>
      </c>
      <c r="Q10">
        <f>IFERROR((2*K10+2*L10+J10)/I10,0)</f>
        <v/>
      </c>
      <c r="R10">
        <f>IFERROR(L10/K10,0)</f>
        <v/>
      </c>
      <c r="S10">
        <f>IF(AND(P10&gt;=0.10,Q10&gt;=0.08,N10&gt;=0.60),"Eligible","Not Eligible")</f>
        <v/>
      </c>
      <c r="T10">
        <f>IFS(P10&gt;=0.20,"A+",P10&gt;=0.15,"A",P10&gt;=0.10,"B",P10&gt;=0.05,"C",TRUE,"D")</f>
        <v/>
      </c>
    </row>
    <row r="11">
      <c r="A11" t="inlineStr">
        <is>
          <t>P010</t>
        </is>
      </c>
      <c r="B11" s="2" t="n">
        <v>46032</v>
      </c>
      <c r="C11" t="inlineStr">
        <is>
          <t>Dating</t>
        </is>
      </c>
      <c r="D11" t="inlineStr">
        <is>
          <t>Carousel</t>
        </is>
      </c>
      <c r="E11" t="inlineStr">
        <is>
          <t>Visual</t>
        </is>
      </c>
      <c r="F11" t="inlineStr">
        <is>
          <t>Morning</t>
        </is>
      </c>
      <c r="G11" t="inlineStr">
        <is>
          <t>Advice</t>
        </is>
      </c>
      <c r="H11" t="n">
        <v/>
      </c>
      <c r="I11" t="n">
        <v>9809</v>
      </c>
      <c r="J11" t="n">
        <v>762</v>
      </c>
      <c r="K11" t="n">
        <v>211</v>
      </c>
      <c r="L11" t="n">
        <v>199</v>
      </c>
      <c r="M11" t="n">
        <v>93</v>
      </c>
      <c r="N11" t="n">
        <v>0.457</v>
      </c>
      <c r="O11" t="inlineStr">
        <is>
          <t>Not really relatable to me.</t>
        </is>
      </c>
      <c r="P11">
        <f>IFERROR((J11+K11+L11+M11)/I11,0)</f>
        <v/>
      </c>
      <c r="Q11">
        <f>IFERROR((2*K11+2*L11+J11)/I11,0)</f>
        <v/>
      </c>
      <c r="R11">
        <f>IFERROR(L11/K11,0)</f>
        <v/>
      </c>
      <c r="S11">
        <f>IF(AND(P11&gt;=0.10,Q11&gt;=0.08,N11&gt;=0.60),"Eligible","Not Eligible")</f>
        <v/>
      </c>
      <c r="T11">
        <f>IFS(P11&gt;=0.20,"A+",P11&gt;=0.15,"A",P11&gt;=0.10,"B",P11&gt;=0.05,"C",TRUE,"D")</f>
        <v/>
      </c>
    </row>
    <row r="12">
      <c r="A12" t="inlineStr">
        <is>
          <t>P011</t>
        </is>
      </c>
      <c r="B12" s="2" t="n">
        <v>46033</v>
      </c>
      <c r="C12" t="inlineStr">
        <is>
          <t>Self Confidence</t>
        </is>
      </c>
      <c r="D12" t="inlineStr">
        <is>
          <t>Long Video</t>
        </is>
      </c>
      <c r="E12" t="inlineStr">
        <is>
          <t>Text</t>
        </is>
      </c>
      <c r="F12" t="inlineStr">
        <is>
          <t>Night</t>
        </is>
      </c>
      <c r="G12" t="inlineStr">
        <is>
          <t>Question</t>
        </is>
      </c>
      <c r="H12" t="n">
        <v>121</v>
      </c>
      <c r="I12" t="n">
        <v>37201</v>
      </c>
      <c r="J12" t="n">
        <v>3557</v>
      </c>
      <c r="K12" t="n">
        <v>985</v>
      </c>
      <c r="L12" t="n">
        <v>930</v>
      </c>
      <c r="M12" t="n">
        <v>437</v>
      </c>
      <c r="N12" t="n">
        <v>0.74</v>
      </c>
      <c r="O12" t="inlineStr">
        <is>
          <t>This is exactly what I struggle with.</t>
        </is>
      </c>
      <c r="P12">
        <f>IFERROR((J12+K12+L12+M12)/I12,0)</f>
        <v/>
      </c>
      <c r="Q12">
        <f>IFERROR((2*K12+2*L12+J12)/I12,0)</f>
        <v/>
      </c>
      <c r="R12">
        <f>IFERROR(L12/K12,0)</f>
        <v/>
      </c>
      <c r="S12">
        <f>IF(AND(P12&gt;=0.10,Q12&gt;=0.08,N12&gt;=0.60),"Eligible","Not Eligible")</f>
        <v/>
      </c>
      <c r="T12">
        <f>IFS(P12&gt;=0.20,"A+",P12&gt;=0.15,"A",P12&gt;=0.10,"B",P12&gt;=0.05,"C",TRUE,"D")</f>
        <v/>
      </c>
    </row>
    <row r="13">
      <c r="A13" t="inlineStr">
        <is>
          <t>P012</t>
        </is>
      </c>
      <c r="B13" s="2" t="n">
        <v>46034</v>
      </c>
      <c r="C13" t="inlineStr">
        <is>
          <t>Self Confidence</t>
        </is>
      </c>
      <c r="D13" t="inlineStr">
        <is>
          <t>Short Video</t>
        </is>
      </c>
      <c r="E13" t="inlineStr">
        <is>
          <t>Text</t>
        </is>
      </c>
      <c r="F13" t="inlineStr">
        <is>
          <t>Morning</t>
        </is>
      </c>
      <c r="G13" t="inlineStr">
        <is>
          <t>Advice</t>
        </is>
      </c>
      <c r="H13" t="n">
        <v>49</v>
      </c>
      <c r="I13" t="n">
        <v>18456</v>
      </c>
      <c r="J13" t="n">
        <v>2327</v>
      </c>
      <c r="K13" t="n">
        <v>644</v>
      </c>
      <c r="L13" t="n">
        <v>608</v>
      </c>
      <c r="M13" t="n">
        <v>286</v>
      </c>
      <c r="N13" t="n">
        <v>0.646</v>
      </c>
      <c r="O13" t="inlineStr">
        <is>
          <t>Helpful advice, thank you.</t>
        </is>
      </c>
      <c r="P13">
        <f>IFERROR((J13+K13+L13+M13)/I13,0)</f>
        <v/>
      </c>
      <c r="Q13">
        <f>IFERROR((2*K13+2*L13+J13)/I13,0)</f>
        <v/>
      </c>
      <c r="R13">
        <f>IFERROR(L13/K13,0)</f>
        <v/>
      </c>
      <c r="S13">
        <f>IF(AND(P13&gt;=0.10,Q13&gt;=0.08,N13&gt;=0.60),"Eligible","Not Eligible")</f>
        <v/>
      </c>
      <c r="T13">
        <f>IFS(P13&gt;=0.20,"A+",P13&gt;=0.15,"A",P13&gt;=0.10,"B",P13&gt;=0.05,"C",TRUE,"D")</f>
        <v/>
      </c>
    </row>
    <row r="14">
      <c r="A14" t="inlineStr">
        <is>
          <t>P013</t>
        </is>
      </c>
      <c r="B14" s="2" t="n">
        <v>46035</v>
      </c>
      <c r="C14" t="inlineStr">
        <is>
          <t>Self Confidence</t>
        </is>
      </c>
      <c r="D14" t="inlineStr">
        <is>
          <t>Short Video</t>
        </is>
      </c>
      <c r="E14" t="inlineStr">
        <is>
          <t>Text</t>
        </is>
      </c>
      <c r="F14" t="inlineStr">
        <is>
          <t>Morning</t>
        </is>
      </c>
      <c r="G14" t="inlineStr">
        <is>
          <t>Advice</t>
        </is>
      </c>
      <c r="H14" t="n">
        <v>49</v>
      </c>
      <c r="I14" t="n">
        <v>43765</v>
      </c>
      <c r="J14" t="n">
        <v>3717</v>
      </c>
      <c r="K14" t="n">
        <v>1029</v>
      </c>
      <c r="L14" t="n">
        <v>972</v>
      </c>
      <c r="M14" t="n">
        <v>457</v>
      </c>
      <c r="N14" t="n">
        <v>0.602</v>
      </c>
      <c r="O14" t="inlineStr">
        <is>
          <t>This is exactly what I struggle with.</t>
        </is>
      </c>
      <c r="P14">
        <f>IFERROR((J14+K14+L14+M14)/I14,0)</f>
        <v/>
      </c>
      <c r="Q14">
        <f>IFERROR((2*K14+2*L14+J14)/I14,0)</f>
        <v/>
      </c>
      <c r="R14">
        <f>IFERROR(L14/K14,0)</f>
        <v/>
      </c>
      <c r="S14">
        <f>IF(AND(P14&gt;=0.10,Q14&gt;=0.08,N14&gt;=0.60),"Eligible","Not Eligible")</f>
        <v/>
      </c>
      <c r="T14">
        <f>IFS(P14&gt;=0.20,"A+",P14&gt;=0.15,"A",P14&gt;=0.10,"B",P14&gt;=0.05,"C",TRUE,"D")</f>
        <v/>
      </c>
    </row>
    <row r="15">
      <c r="A15" t="inlineStr">
        <is>
          <t>P014</t>
        </is>
      </c>
      <c r="B15" s="2" t="n">
        <v>46036</v>
      </c>
      <c r="C15" t="inlineStr">
        <is>
          <t>Self Confidence</t>
        </is>
      </c>
      <c r="D15" t="inlineStr">
        <is>
          <t>Carousel</t>
        </is>
      </c>
      <c r="E15" t="inlineStr">
        <is>
          <t>Text</t>
        </is>
      </c>
      <c r="F15" t="inlineStr">
        <is>
          <t>Afternoon</t>
        </is>
      </c>
      <c r="G15" t="inlineStr">
        <is>
          <t>Story</t>
        </is>
      </c>
      <c r="H15" t="n">
        <v/>
      </c>
      <c r="I15" t="n">
        <v>39816</v>
      </c>
      <c r="J15" t="n">
        <v>3351</v>
      </c>
      <c r="K15" t="n">
        <v>928</v>
      </c>
      <c r="L15" t="n">
        <v>876</v>
      </c>
      <c r="M15" t="n">
        <v>412</v>
      </c>
      <c r="N15" t="n">
        <v>0.756</v>
      </c>
      <c r="O15" t="inlineStr">
        <is>
          <t>Very relatable and honest.</t>
        </is>
      </c>
      <c r="P15">
        <f>IFERROR((J15+K15+L15+M15)/I15,0)</f>
        <v/>
      </c>
      <c r="Q15">
        <f>IFERROR((2*K15+2*L15+J15)/I15,0)</f>
        <v/>
      </c>
      <c r="R15">
        <f>IFERROR(L15/K15,0)</f>
        <v/>
      </c>
      <c r="S15">
        <f>IF(AND(P15&gt;=0.10,Q15&gt;=0.08,N15&gt;=0.60),"Eligible","Not Eligible")</f>
        <v/>
      </c>
      <c r="T15">
        <f>IFS(P15&gt;=0.20,"A+",P15&gt;=0.15,"A",P15&gt;=0.10,"B",P15&gt;=0.05,"C",TRUE,"D")</f>
        <v/>
      </c>
    </row>
    <row r="16">
      <c r="A16" t="inlineStr">
        <is>
          <t>P015</t>
        </is>
      </c>
      <c r="B16" s="2" t="n">
        <v>46037</v>
      </c>
      <c r="C16" t="inlineStr">
        <is>
          <t>Overthinking</t>
        </is>
      </c>
      <c r="D16" t="inlineStr">
        <is>
          <t>Long Video</t>
        </is>
      </c>
      <c r="E16" t="inlineStr">
        <is>
          <t>Visual</t>
        </is>
      </c>
      <c r="F16" t="inlineStr">
        <is>
          <t>Morning</t>
        </is>
      </c>
      <c r="G16" t="inlineStr">
        <is>
          <t>Advice</t>
        </is>
      </c>
      <c r="H16" t="n">
        <v>178</v>
      </c>
      <c r="I16" t="n">
        <v>22100</v>
      </c>
      <c r="J16" t="n">
        <v>1473</v>
      </c>
      <c r="K16" t="n">
        <v>408</v>
      </c>
      <c r="L16" t="n">
        <v>385</v>
      </c>
      <c r="M16" t="n">
        <v>181</v>
      </c>
      <c r="N16" t="n">
        <v>0.528</v>
      </c>
      <c r="O16" t="inlineStr">
        <is>
          <t>This is incredibly relatable.</t>
        </is>
      </c>
      <c r="P16">
        <f>IFERROR((J16+K16+L16+M16)/I16,0)</f>
        <v/>
      </c>
      <c r="Q16">
        <f>IFERROR((2*K16+2*L16+J16)/I16,0)</f>
        <v/>
      </c>
      <c r="R16">
        <f>IFERROR(L16/K16,0)</f>
        <v/>
      </c>
      <c r="S16">
        <f>IF(AND(P16&gt;=0.10,Q16&gt;=0.08,N16&gt;=0.60),"Eligible","Not Eligible")</f>
        <v/>
      </c>
      <c r="T16">
        <f>IFS(P16&gt;=0.20,"A+",P16&gt;=0.15,"A",P16&gt;=0.10,"B",P16&gt;=0.05,"C",TRUE,"D")</f>
        <v/>
      </c>
    </row>
    <row r="17">
      <c r="A17" t="inlineStr">
        <is>
          <t>P016</t>
        </is>
      </c>
      <c r="B17" s="2" t="n">
        <v>46038</v>
      </c>
      <c r="C17" t="inlineStr">
        <is>
          <t>Social Anxiety</t>
        </is>
      </c>
      <c r="D17" t="inlineStr">
        <is>
          <t>Long Video</t>
        </is>
      </c>
      <c r="E17" t="inlineStr">
        <is>
          <t>Text</t>
        </is>
      </c>
      <c r="F17" t="inlineStr">
        <is>
          <t>Evening</t>
        </is>
      </c>
      <c r="G17" t="inlineStr">
        <is>
          <t>Story</t>
        </is>
      </c>
      <c r="H17" t="n">
        <v>145</v>
      </c>
      <c r="I17" t="n">
        <v>26949</v>
      </c>
      <c r="J17" t="n">
        <v>3238</v>
      </c>
      <c r="K17" t="n">
        <v>896</v>
      </c>
      <c r="L17" t="n">
        <v>847</v>
      </c>
      <c r="M17" t="n">
        <v>398</v>
      </c>
      <c r="N17" t="n">
        <v>0.437</v>
      </c>
      <c r="O17" t="inlineStr">
        <is>
          <t>I thought I was the only one experiencing this.</t>
        </is>
      </c>
      <c r="P17">
        <f>IFERROR((J17+K17+L17+M17)/I17,0)</f>
        <v/>
      </c>
      <c r="Q17">
        <f>IFERROR((2*K17+2*L17+J17)/I17,0)</f>
        <v/>
      </c>
      <c r="R17">
        <f>IFERROR(L17/K17,0)</f>
        <v/>
      </c>
      <c r="S17">
        <f>IF(AND(P17&gt;=0.10,Q17&gt;=0.08,N17&gt;=0.60),"Eligible","Not Eligible")</f>
        <v/>
      </c>
      <c r="T17">
        <f>IFS(P17&gt;=0.20,"A+",P17&gt;=0.15,"A",P17&gt;=0.10,"B",P17&gt;=0.05,"C",TRUE,"D")</f>
        <v/>
      </c>
    </row>
    <row r="18">
      <c r="A18" t="inlineStr">
        <is>
          <t>P017</t>
        </is>
      </c>
      <c r="B18" s="2" t="n">
        <v>46039</v>
      </c>
      <c r="C18" t="inlineStr">
        <is>
          <t>Overthinking</t>
        </is>
      </c>
      <c r="D18" t="inlineStr">
        <is>
          <t>Long Video</t>
        </is>
      </c>
      <c r="E18" t="inlineStr">
        <is>
          <t>Text</t>
        </is>
      </c>
      <c r="F18" t="inlineStr">
        <is>
          <t>Evening</t>
        </is>
      </c>
      <c r="G18" t="inlineStr">
        <is>
          <t>Question</t>
        </is>
      </c>
      <c r="H18" t="n">
        <v>135</v>
      </c>
      <c r="I18" t="n">
        <v>9544</v>
      </c>
      <c r="J18" t="n">
        <v>1003</v>
      </c>
      <c r="K18" t="n">
        <v>277</v>
      </c>
      <c r="L18" t="n">
        <v>262</v>
      </c>
      <c r="M18" t="n">
        <v>123</v>
      </c>
      <c r="N18" t="n">
        <v>0.418</v>
      </c>
      <c r="O18" t="inlineStr">
        <is>
          <t>I feel understood by this post.</t>
        </is>
      </c>
      <c r="P18">
        <f>IFERROR((J18+K18+L18+M18)/I18,0)</f>
        <v/>
      </c>
      <c r="Q18">
        <f>IFERROR((2*K18+2*L18+J18)/I18,0)</f>
        <v/>
      </c>
      <c r="R18">
        <f>IFERROR(L18/K18,0)</f>
        <v/>
      </c>
      <c r="S18">
        <f>IF(AND(P18&gt;=0.10,Q18&gt;=0.08,N18&gt;=0.60),"Eligible","Not Eligible")</f>
        <v/>
      </c>
      <c r="T18">
        <f>IFS(P18&gt;=0.20,"A+",P18&gt;=0.15,"A",P18&gt;=0.10,"B",P18&gt;=0.05,"C",TRUE,"D")</f>
        <v/>
      </c>
    </row>
    <row r="19">
      <c r="A19" t="inlineStr">
        <is>
          <t>P018</t>
        </is>
      </c>
      <c r="B19" s="2" t="n">
        <v>46040</v>
      </c>
      <c r="C19" t="inlineStr">
        <is>
          <t>Overthinking</t>
        </is>
      </c>
      <c r="D19" t="inlineStr">
        <is>
          <t>Short Video</t>
        </is>
      </c>
      <c r="E19" t="inlineStr">
        <is>
          <t>Visual</t>
        </is>
      </c>
      <c r="F19" t="inlineStr">
        <is>
          <t>Night</t>
        </is>
      </c>
      <c r="G19" t="inlineStr">
        <is>
          <t>Story</t>
        </is>
      </c>
      <c r="H19" t="n">
        <v>38</v>
      </c>
      <c r="I19" t="n">
        <v>42744</v>
      </c>
      <c r="J19" t="n">
        <v>3526</v>
      </c>
      <c r="K19" t="n">
        <v>976</v>
      </c>
      <c r="L19" t="n">
        <v>922</v>
      </c>
      <c r="M19" t="n">
        <v>434</v>
      </c>
      <c r="N19" t="n">
        <v>0.749</v>
      </c>
      <c r="O19" t="inlineStr">
        <is>
          <t>This topic is not relatable to me.</t>
        </is>
      </c>
      <c r="P19">
        <f>IFERROR((J19+K19+L19+M19)/I19,0)</f>
        <v/>
      </c>
      <c r="Q19">
        <f>IFERROR((2*K19+2*L19+J19)/I19,0)</f>
        <v/>
      </c>
      <c r="R19">
        <f>IFERROR(L19/K19,0)</f>
        <v/>
      </c>
      <c r="S19">
        <f>IF(AND(P19&gt;=0.10,Q19&gt;=0.08,N19&gt;=0.60),"Eligible","Not Eligible")</f>
        <v/>
      </c>
      <c r="T19">
        <f>IFS(P19&gt;=0.20,"A+",P19&gt;=0.15,"A",P19&gt;=0.10,"B",P19&gt;=0.05,"C",TRUE,"D")</f>
        <v/>
      </c>
    </row>
    <row r="20">
      <c r="A20" t="inlineStr">
        <is>
          <t>P019</t>
        </is>
      </c>
      <c r="B20" s="2" t="n">
        <v>46041</v>
      </c>
      <c r="C20" t="inlineStr">
        <is>
          <t>Overthinking</t>
        </is>
      </c>
      <c r="D20" t="inlineStr">
        <is>
          <t>Short Video</t>
        </is>
      </c>
      <c r="E20" t="inlineStr">
        <is>
          <t>Text</t>
        </is>
      </c>
      <c r="F20" t="inlineStr">
        <is>
          <t>Morning</t>
        </is>
      </c>
      <c r="G20" t="inlineStr">
        <is>
          <t>Question</t>
        </is>
      </c>
      <c r="H20" t="n">
        <v>37</v>
      </c>
      <c r="I20" t="n">
        <v>47783</v>
      </c>
      <c r="J20" t="n">
        <v>3018</v>
      </c>
      <c r="K20" t="n">
        <v>835</v>
      </c>
      <c r="L20" t="n">
        <v>789</v>
      </c>
      <c r="M20" t="n">
        <v>371</v>
      </c>
      <c r="N20" t="n">
        <v>0.504</v>
      </c>
      <c r="O20" t="inlineStr">
        <is>
          <t>This topic is not relatable to me.</t>
        </is>
      </c>
      <c r="P20">
        <f>IFERROR((J20+K20+L20+M20)/I20,0)</f>
        <v/>
      </c>
      <c r="Q20">
        <f>IFERROR((2*K20+2*L20+J20)/I20,0)</f>
        <v/>
      </c>
      <c r="R20">
        <f>IFERROR(L20/K20,0)</f>
        <v/>
      </c>
      <c r="S20">
        <f>IF(AND(P20&gt;=0.10,Q20&gt;=0.08,N20&gt;=0.60),"Eligible","Not Eligible")</f>
        <v/>
      </c>
      <c r="T20">
        <f>IFS(P20&gt;=0.20,"A+",P20&gt;=0.15,"A",P20&gt;=0.10,"B",P20&gt;=0.05,"C",TRUE,"D")</f>
        <v/>
      </c>
    </row>
    <row r="21">
      <c r="A21" t="inlineStr">
        <is>
          <t>P020</t>
        </is>
      </c>
      <c r="B21" s="2" t="n">
        <v>46042</v>
      </c>
      <c r="C21" t="inlineStr">
        <is>
          <t>Self Confidence</t>
        </is>
      </c>
      <c r="D21" t="inlineStr">
        <is>
          <t>Short Video</t>
        </is>
      </c>
      <c r="E21" t="inlineStr">
        <is>
          <t>Visual</t>
        </is>
      </c>
      <c r="F21" t="inlineStr">
        <is>
          <t>Night</t>
        </is>
      </c>
      <c r="G21" t="inlineStr">
        <is>
          <t>Story</t>
        </is>
      </c>
      <c r="H21" t="n">
        <v>46</v>
      </c>
      <c r="I21" t="n">
        <v>31657</v>
      </c>
      <c r="J21" t="n">
        <v>2523</v>
      </c>
      <c r="K21" t="n">
        <v>698</v>
      </c>
      <c r="L21" t="n">
        <v>659</v>
      </c>
      <c r="M21" t="n">
        <v>310</v>
      </c>
      <c r="N21" t="n">
        <v>0.898</v>
      </c>
      <c r="O21" t="inlineStr">
        <is>
          <t>This is exactly what I struggle with.</t>
        </is>
      </c>
      <c r="P21">
        <f>IFERROR((J21+K21+L21+M21)/I21,0)</f>
        <v/>
      </c>
      <c r="Q21">
        <f>IFERROR((2*K21+2*L21+J21)/I21,0)</f>
        <v/>
      </c>
      <c r="R21">
        <f>IFERROR(L21/K21,0)</f>
        <v/>
      </c>
      <c r="S21">
        <f>IF(AND(P21&gt;=0.10,Q21&gt;=0.08,N21&gt;=0.60),"Eligible","Not Eligible")</f>
        <v/>
      </c>
      <c r="T21">
        <f>IFS(P21&gt;=0.20,"A+",P21&gt;=0.15,"A",P21&gt;=0.10,"B",P21&gt;=0.05,"C",TRUE,"D")</f>
        <v/>
      </c>
    </row>
    <row r="22">
      <c r="A22" t="inlineStr">
        <is>
          <t>P021</t>
        </is>
      </c>
      <c r="B22" s="2" t="n">
        <v>46043</v>
      </c>
      <c r="C22" t="inlineStr">
        <is>
          <t>Dating</t>
        </is>
      </c>
      <c r="D22" t="inlineStr">
        <is>
          <t>Carousel</t>
        </is>
      </c>
      <c r="E22" t="inlineStr">
        <is>
          <t>Text</t>
        </is>
      </c>
      <c r="F22" t="inlineStr">
        <is>
          <t>Evening</t>
        </is>
      </c>
      <c r="G22" t="inlineStr">
        <is>
          <t>Advice</t>
        </is>
      </c>
      <c r="H22" t="n">
        <v/>
      </c>
      <c r="I22" t="n">
        <v>41187</v>
      </c>
      <c r="J22" t="n">
        <v>2483</v>
      </c>
      <c r="K22" t="n">
        <v>687</v>
      </c>
      <c r="L22" t="n">
        <v>649</v>
      </c>
      <c r="M22" t="n">
        <v>305</v>
      </c>
      <c r="N22" t="n">
        <v>0.349</v>
      </c>
      <c r="O22" t="inlineStr">
        <is>
          <t>This explains what many people experience.</t>
        </is>
      </c>
      <c r="P22">
        <f>IFERROR((J22+K22+L22+M22)/I22,0)</f>
        <v/>
      </c>
      <c r="Q22">
        <f>IFERROR((2*K22+2*L22+J22)/I22,0)</f>
        <v/>
      </c>
      <c r="R22">
        <f>IFERROR(L22/K22,0)</f>
        <v/>
      </c>
      <c r="S22">
        <f>IF(AND(P22&gt;=0.10,Q22&gt;=0.08,N22&gt;=0.60),"Eligible","Not Eligible")</f>
        <v/>
      </c>
      <c r="T22">
        <f>IFS(P22&gt;=0.20,"A+",P22&gt;=0.15,"A",P22&gt;=0.10,"B",P22&gt;=0.05,"C",TRUE,"D")</f>
        <v/>
      </c>
    </row>
    <row r="23">
      <c r="A23" t="inlineStr">
        <is>
          <t>P022</t>
        </is>
      </c>
      <c r="B23" s="2" t="n">
        <v>46044</v>
      </c>
      <c r="C23" t="inlineStr">
        <is>
          <t>Social Anxiety</t>
        </is>
      </c>
      <c r="D23" t="inlineStr">
        <is>
          <t>Long Video</t>
        </is>
      </c>
      <c r="E23" t="inlineStr">
        <is>
          <t>Text</t>
        </is>
      </c>
      <c r="F23" t="inlineStr">
        <is>
          <t>Morning</t>
        </is>
      </c>
      <c r="G23" t="inlineStr">
        <is>
          <t>Advice</t>
        </is>
      </c>
      <c r="H23" t="n">
        <v>80</v>
      </c>
      <c r="I23" t="n">
        <v>12239</v>
      </c>
      <c r="J23" t="n">
        <v>873</v>
      </c>
      <c r="K23" t="n">
        <v>241</v>
      </c>
      <c r="L23" t="n">
        <v>228</v>
      </c>
      <c r="M23" t="n">
        <v>107</v>
      </c>
      <c r="N23" t="n">
        <v>0.841</v>
      </c>
      <c r="O23" t="inlineStr">
        <is>
          <t>Very relatable, this explained my feelings perfectly.</t>
        </is>
      </c>
      <c r="P23">
        <f>IFERROR((J23+K23+L23+M23)/I23,0)</f>
        <v/>
      </c>
      <c r="Q23">
        <f>IFERROR((2*K23+2*L23+J23)/I23,0)</f>
        <v/>
      </c>
      <c r="R23">
        <f>IFERROR(L23/K23,0)</f>
        <v/>
      </c>
      <c r="S23">
        <f>IF(AND(P23&gt;=0.10,Q23&gt;=0.08,N23&gt;=0.60),"Eligible","Not Eligible")</f>
        <v/>
      </c>
      <c r="T23">
        <f>IFS(P23&gt;=0.20,"A+",P23&gt;=0.15,"A",P23&gt;=0.10,"B",P23&gt;=0.05,"C",TRUE,"D")</f>
        <v/>
      </c>
    </row>
    <row r="24">
      <c r="A24" t="inlineStr">
        <is>
          <t>P023</t>
        </is>
      </c>
      <c r="B24" s="2" t="n">
        <v>46045</v>
      </c>
      <c r="C24" t="inlineStr">
        <is>
          <t>Dating</t>
        </is>
      </c>
      <c r="D24" t="inlineStr">
        <is>
          <t>Short Video</t>
        </is>
      </c>
      <c r="E24" t="inlineStr">
        <is>
          <t>Text</t>
        </is>
      </c>
      <c r="F24" t="inlineStr">
        <is>
          <t>Morning</t>
        </is>
      </c>
      <c r="G24" t="inlineStr">
        <is>
          <t>Question</t>
        </is>
      </c>
      <c r="H24" t="n">
        <v>27</v>
      </c>
      <c r="I24" t="n">
        <v>19489</v>
      </c>
      <c r="J24" t="n">
        <v>1145</v>
      </c>
      <c r="K24" t="n">
        <v>317</v>
      </c>
      <c r="L24" t="n">
        <v>299</v>
      </c>
      <c r="M24" t="n">
        <v>141</v>
      </c>
      <c r="N24" t="n">
        <v>0.697</v>
      </c>
      <c r="O24" t="inlineStr">
        <is>
          <t>Interesting perspective and useful advice.</t>
        </is>
      </c>
      <c r="P24">
        <f>IFERROR((J24+K24+L24+M24)/I24,0)</f>
        <v/>
      </c>
      <c r="Q24">
        <f>IFERROR((2*K24+2*L24+J24)/I24,0)</f>
        <v/>
      </c>
      <c r="R24">
        <f>IFERROR(L24/K24,0)</f>
        <v/>
      </c>
      <c r="S24">
        <f>IF(AND(P24&gt;=0.10,Q24&gt;=0.08,N24&gt;=0.60),"Eligible","Not Eligible")</f>
        <v/>
      </c>
      <c r="T24">
        <f>IFS(P24&gt;=0.20,"A+",P24&gt;=0.15,"A",P24&gt;=0.10,"B",P24&gt;=0.05,"C",TRUE,"D")</f>
        <v/>
      </c>
    </row>
    <row r="25">
      <c r="A25" t="inlineStr">
        <is>
          <t>P024</t>
        </is>
      </c>
      <c r="B25" s="2" t="n">
        <v>46046</v>
      </c>
      <c r="C25" t="inlineStr">
        <is>
          <t>Overthinking</t>
        </is>
      </c>
      <c r="D25" t="inlineStr">
        <is>
          <t>Short Video</t>
        </is>
      </c>
      <c r="E25" t="inlineStr">
        <is>
          <t>Visual</t>
        </is>
      </c>
      <c r="F25" t="inlineStr">
        <is>
          <t>Night</t>
        </is>
      </c>
      <c r="G25" t="inlineStr">
        <is>
          <t>Question</t>
        </is>
      </c>
      <c r="H25" t="n">
        <v>37</v>
      </c>
      <c r="I25" t="n">
        <v>48125</v>
      </c>
      <c r="J25" t="n">
        <v>4070</v>
      </c>
      <c r="K25" t="n">
        <v>1127</v>
      </c>
      <c r="L25" t="n">
        <v>1064</v>
      </c>
      <c r="M25" t="n">
        <v>500</v>
      </c>
      <c r="N25" t="n">
        <v>0.657</v>
      </c>
      <c r="O25" t="inlineStr">
        <is>
          <t>This topic is not relatable to me.</t>
        </is>
      </c>
      <c r="P25">
        <f>IFERROR((J25+K25+L25+M25)/I25,0)</f>
        <v/>
      </c>
      <c r="Q25">
        <f>IFERROR((2*K25+2*L25+J25)/I25,0)</f>
        <v/>
      </c>
      <c r="R25">
        <f>IFERROR(L25/K25,0)</f>
        <v/>
      </c>
      <c r="S25">
        <f>IF(AND(P25&gt;=0.10,Q25&gt;=0.08,N25&gt;=0.60),"Eligible","Not Eligible")</f>
        <v/>
      </c>
      <c r="T25">
        <f>IFS(P25&gt;=0.20,"A+",P25&gt;=0.15,"A",P25&gt;=0.10,"B",P25&gt;=0.05,"C",TRUE,"D")</f>
        <v/>
      </c>
    </row>
    <row r="26">
      <c r="A26" t="inlineStr">
        <is>
          <t>P025</t>
        </is>
      </c>
      <c r="B26" s="2" t="n">
        <v>46047</v>
      </c>
      <c r="C26" t="inlineStr">
        <is>
          <t>Overthinking</t>
        </is>
      </c>
      <c r="D26" t="inlineStr">
        <is>
          <t>Short Video</t>
        </is>
      </c>
      <c r="E26" t="inlineStr">
        <is>
          <t>Visual</t>
        </is>
      </c>
      <c r="F26" t="inlineStr">
        <is>
          <t>Evening</t>
        </is>
      </c>
      <c r="G26" t="inlineStr">
        <is>
          <t>Question</t>
        </is>
      </c>
      <c r="H26" t="n">
        <v>39</v>
      </c>
      <c r="I26" t="n">
        <v>33538</v>
      </c>
      <c r="J26" t="n">
        <v>2670</v>
      </c>
      <c r="K26" t="n">
        <v>739</v>
      </c>
      <c r="L26" t="n">
        <v>698</v>
      </c>
      <c r="M26" t="n">
        <v>328</v>
      </c>
      <c r="N26" t="n">
        <v>0.599</v>
      </c>
      <c r="O26" t="inlineStr">
        <is>
          <t>My brain does this all the time.</t>
        </is>
      </c>
      <c r="P26">
        <f>IFERROR((J26+K26+L26+M26)/I26,0)</f>
        <v/>
      </c>
      <c r="Q26">
        <f>IFERROR((2*K26+2*L26+J26)/I26,0)</f>
        <v/>
      </c>
      <c r="R26">
        <f>IFERROR(L26/K26,0)</f>
        <v/>
      </c>
      <c r="S26">
        <f>IF(AND(P26&gt;=0.10,Q26&gt;=0.08,N26&gt;=0.60),"Eligible","Not Eligible")</f>
        <v/>
      </c>
      <c r="T26">
        <f>IFS(P26&gt;=0.20,"A+",P26&gt;=0.15,"A",P26&gt;=0.10,"B",P26&gt;=0.05,"C",TRUE,"D")</f>
        <v/>
      </c>
    </row>
    <row r="27">
      <c r="A27" t="inlineStr">
        <is>
          <t>P026</t>
        </is>
      </c>
      <c r="B27" s="2" t="n">
        <v>46048</v>
      </c>
      <c r="C27" t="inlineStr">
        <is>
          <t>Dating</t>
        </is>
      </c>
      <c r="D27" t="inlineStr">
        <is>
          <t>Short Video</t>
        </is>
      </c>
      <c r="E27" t="inlineStr">
        <is>
          <t>Text</t>
        </is>
      </c>
      <c r="F27" t="inlineStr">
        <is>
          <t>Morning</t>
        </is>
      </c>
      <c r="G27" t="inlineStr">
        <is>
          <t>Story</t>
        </is>
      </c>
      <c r="H27" t="n">
        <v>49</v>
      </c>
      <c r="I27" t="n">
        <v>37049</v>
      </c>
      <c r="J27" t="n">
        <v>4543</v>
      </c>
      <c r="K27" t="n">
        <v>1258</v>
      </c>
      <c r="L27" t="n">
        <v>1188</v>
      </c>
      <c r="M27" t="n">
        <v>559</v>
      </c>
      <c r="N27" t="n">
        <v>0.722</v>
      </c>
      <c r="O27" t="inlineStr">
        <is>
          <t>Not really relatable to me.</t>
        </is>
      </c>
      <c r="P27">
        <f>IFERROR((J27+K27+L27+M27)/I27,0)</f>
        <v/>
      </c>
      <c r="Q27">
        <f>IFERROR((2*K27+2*L27+J27)/I27,0)</f>
        <v/>
      </c>
      <c r="R27">
        <f>IFERROR(L27/K27,0)</f>
        <v/>
      </c>
      <c r="S27">
        <f>IF(AND(P27&gt;=0.10,Q27&gt;=0.08,N27&gt;=0.60),"Eligible","Not Eligible")</f>
        <v/>
      </c>
      <c r="T27">
        <f>IFS(P27&gt;=0.20,"A+",P27&gt;=0.15,"A",P27&gt;=0.10,"B",P27&gt;=0.05,"C",TRUE,"D")</f>
        <v/>
      </c>
    </row>
    <row r="28">
      <c r="A28" t="inlineStr">
        <is>
          <t>P027</t>
        </is>
      </c>
      <c r="B28" s="2" t="n">
        <v>46049</v>
      </c>
      <c r="C28" t="inlineStr">
        <is>
          <t>Dating</t>
        </is>
      </c>
      <c r="D28" t="inlineStr">
        <is>
          <t>Long Video</t>
        </is>
      </c>
      <c r="E28" t="inlineStr">
        <is>
          <t>Visual</t>
        </is>
      </c>
      <c r="F28" t="inlineStr">
        <is>
          <t>Night</t>
        </is>
      </c>
      <c r="G28" t="inlineStr">
        <is>
          <t>Story</t>
        </is>
      </c>
      <c r="H28" t="n">
        <v>109</v>
      </c>
      <c r="I28" t="n">
        <v>42131</v>
      </c>
      <c r="J28" t="n">
        <v>4944</v>
      </c>
      <c r="K28" t="n">
        <v>1369</v>
      </c>
      <c r="L28" t="n">
        <v>1293</v>
      </c>
      <c r="M28" t="n">
        <v>608</v>
      </c>
      <c r="N28" t="n">
        <v>0.615</v>
      </c>
      <c r="O28" t="inlineStr">
        <is>
          <t>Not really relatable to me.</t>
        </is>
      </c>
      <c r="P28">
        <f>IFERROR((J28+K28+L28+M28)/I28,0)</f>
        <v/>
      </c>
      <c r="Q28">
        <f>IFERROR((2*K28+2*L28+J28)/I28,0)</f>
        <v/>
      </c>
      <c r="R28">
        <f>IFERROR(L28/K28,0)</f>
        <v/>
      </c>
      <c r="S28">
        <f>IF(AND(P28&gt;=0.10,Q28&gt;=0.08,N28&gt;=0.60),"Eligible","Not Eligible")</f>
        <v/>
      </c>
      <c r="T28">
        <f>IFS(P28&gt;=0.20,"A+",P28&gt;=0.15,"A",P28&gt;=0.10,"B",P28&gt;=0.05,"C",TRUE,"D")</f>
        <v/>
      </c>
    </row>
    <row r="29">
      <c r="A29" t="inlineStr">
        <is>
          <t>P028</t>
        </is>
      </c>
      <c r="B29" s="2" t="n">
        <v>46050</v>
      </c>
      <c r="C29" t="inlineStr">
        <is>
          <t>Dating</t>
        </is>
      </c>
      <c r="D29" t="inlineStr">
        <is>
          <t>Long Video</t>
        </is>
      </c>
      <c r="E29" t="inlineStr">
        <is>
          <t>Visual</t>
        </is>
      </c>
      <c r="F29" t="inlineStr">
        <is>
          <t>Evening</t>
        </is>
      </c>
      <c r="G29" t="inlineStr">
        <is>
          <t>Question</t>
        </is>
      </c>
      <c r="H29" t="n">
        <v>74</v>
      </c>
      <c r="I29" t="n">
        <v>47944</v>
      </c>
      <c r="J29" t="n">
        <v>5732</v>
      </c>
      <c r="K29" t="n">
        <v>1587</v>
      </c>
      <c r="L29" t="n">
        <v>1499</v>
      </c>
      <c r="M29" t="n">
        <v>705</v>
      </c>
      <c r="N29" t="n">
        <v>0.763</v>
      </c>
      <c r="O29" t="inlineStr">
        <is>
          <t>Interesting perspective and useful advice.</t>
        </is>
      </c>
      <c r="P29">
        <f>IFERROR((J29+K29+L29+M29)/I29,0)</f>
        <v/>
      </c>
      <c r="Q29">
        <f>IFERROR((2*K29+2*L29+J29)/I29,0)</f>
        <v/>
      </c>
      <c r="R29">
        <f>IFERROR(L29/K29,0)</f>
        <v/>
      </c>
      <c r="S29">
        <f>IF(AND(P29&gt;=0.10,Q29&gt;=0.08,N29&gt;=0.60),"Eligible","Not Eligible")</f>
        <v/>
      </c>
      <c r="T29">
        <f>IFS(P29&gt;=0.20,"A+",P29&gt;=0.15,"A",P29&gt;=0.10,"B",P29&gt;=0.05,"C",TRUE,"D")</f>
        <v/>
      </c>
    </row>
    <row r="30">
      <c r="A30" t="inlineStr">
        <is>
          <t>P029</t>
        </is>
      </c>
      <c r="B30" s="2" t="n">
        <v>46051</v>
      </c>
      <c r="C30" t="inlineStr">
        <is>
          <t>Overthinking</t>
        </is>
      </c>
      <c r="D30" t="inlineStr">
        <is>
          <t>Carousel</t>
        </is>
      </c>
      <c r="E30" t="inlineStr">
        <is>
          <t>Visual</t>
        </is>
      </c>
      <c r="F30" t="inlineStr">
        <is>
          <t>Night</t>
        </is>
      </c>
      <c r="G30" t="inlineStr">
        <is>
          <t>Advice</t>
        </is>
      </c>
      <c r="H30" t="n">
        <v/>
      </c>
      <c r="I30" t="n">
        <v>13427</v>
      </c>
      <c r="J30" t="n">
        <v>1721</v>
      </c>
      <c r="K30" t="n">
        <v>476</v>
      </c>
      <c r="L30" t="n">
        <v>450</v>
      </c>
      <c r="M30" t="n">
        <v>211</v>
      </c>
      <c r="N30" t="n">
        <v>0.635</v>
      </c>
      <c r="O30" t="inlineStr">
        <is>
          <t>My brain does this all the time.</t>
        </is>
      </c>
      <c r="P30">
        <f>IFERROR((J30+K30+L30+M30)/I30,0)</f>
        <v/>
      </c>
      <c r="Q30">
        <f>IFERROR((2*K30+2*L30+J30)/I30,0)</f>
        <v/>
      </c>
      <c r="R30">
        <f>IFERROR(L30/K30,0)</f>
        <v/>
      </c>
      <c r="S30">
        <f>IF(AND(P30&gt;=0.10,Q30&gt;=0.08,N30&gt;=0.60),"Eligible","Not Eligible")</f>
        <v/>
      </c>
      <c r="T30">
        <f>IFS(P30&gt;=0.20,"A+",P30&gt;=0.15,"A",P30&gt;=0.10,"B",P30&gt;=0.05,"C",TRUE,"D")</f>
        <v/>
      </c>
    </row>
    <row r="31">
      <c r="A31" t="inlineStr">
        <is>
          <t>P030</t>
        </is>
      </c>
      <c r="B31" s="2" t="n">
        <v>46052</v>
      </c>
      <c r="C31" t="inlineStr">
        <is>
          <t>Overthinking</t>
        </is>
      </c>
      <c r="D31" t="inlineStr">
        <is>
          <t>Short Video</t>
        </is>
      </c>
      <c r="E31" t="inlineStr">
        <is>
          <t>Visual</t>
        </is>
      </c>
      <c r="F31" t="inlineStr">
        <is>
          <t>Afternoon</t>
        </is>
      </c>
      <c r="G31" t="inlineStr">
        <is>
          <t>Story</t>
        </is>
      </c>
      <c r="H31" t="n">
        <v>34</v>
      </c>
      <c r="I31" t="n">
        <v>46348</v>
      </c>
      <c r="J31" t="n">
        <v>4309</v>
      </c>
      <c r="K31" t="n">
        <v>1193</v>
      </c>
      <c r="L31" t="n">
        <v>1127</v>
      </c>
      <c r="M31" t="n">
        <v>530</v>
      </c>
      <c r="N31" t="n">
        <v>0.6899999999999999</v>
      </c>
      <c r="O31" t="inlineStr">
        <is>
          <t>Good information and advice.</t>
        </is>
      </c>
      <c r="P31">
        <f>IFERROR((J31+K31+L31+M31)/I31,0)</f>
        <v/>
      </c>
      <c r="Q31">
        <f>IFERROR((2*K31+2*L31+J31)/I31,0)</f>
        <v/>
      </c>
      <c r="R31">
        <f>IFERROR(L31/K31,0)</f>
        <v/>
      </c>
      <c r="S31">
        <f>IF(AND(P31&gt;=0.10,Q31&gt;=0.08,N31&gt;=0.60),"Eligible","Not Eligible")</f>
        <v/>
      </c>
      <c r="T31">
        <f>IFS(P31&gt;=0.20,"A+",P31&gt;=0.15,"A",P31&gt;=0.10,"B",P31&gt;=0.05,"C",TRUE,"D")</f>
        <v/>
      </c>
    </row>
    <row r="32">
      <c r="A32" t="inlineStr">
        <is>
          <t>P031</t>
        </is>
      </c>
      <c r="B32" s="2" t="n">
        <v>46053</v>
      </c>
      <c r="C32" t="inlineStr">
        <is>
          <t>Social Anxiety</t>
        </is>
      </c>
      <c r="D32" t="inlineStr">
        <is>
          <t>Short Video</t>
        </is>
      </c>
      <c r="E32" t="inlineStr">
        <is>
          <t>Visual</t>
        </is>
      </c>
      <c r="F32" t="inlineStr">
        <is>
          <t>Morning</t>
        </is>
      </c>
      <c r="G32" t="inlineStr">
        <is>
          <t>Story</t>
        </is>
      </c>
      <c r="H32" t="n">
        <v>39</v>
      </c>
      <c r="I32" t="n">
        <v>29285</v>
      </c>
      <c r="J32" t="n">
        <v>1843</v>
      </c>
      <c r="K32" t="n">
        <v>510</v>
      </c>
      <c r="L32" t="n">
        <v>482</v>
      </c>
      <c r="M32" t="n">
        <v>226</v>
      </c>
      <c r="N32" t="n">
        <v>0.623</v>
      </c>
      <c r="O32" t="inlineStr">
        <is>
          <t>This is exactly how I feel in social situations.</t>
        </is>
      </c>
      <c r="P32">
        <f>IFERROR((J32+K32+L32+M32)/I32,0)</f>
        <v/>
      </c>
      <c r="Q32">
        <f>IFERROR((2*K32+2*L32+J32)/I32,0)</f>
        <v/>
      </c>
      <c r="R32">
        <f>IFERROR(L32/K32,0)</f>
        <v/>
      </c>
      <c r="S32">
        <f>IF(AND(P32&gt;=0.10,Q32&gt;=0.08,N32&gt;=0.60),"Eligible","Not Eligible")</f>
        <v/>
      </c>
      <c r="T32">
        <f>IFS(P32&gt;=0.20,"A+",P32&gt;=0.15,"A",P32&gt;=0.10,"B",P32&gt;=0.05,"C",TRUE,"D")</f>
        <v/>
      </c>
    </row>
    <row r="33">
      <c r="A33" t="inlineStr">
        <is>
          <t>P032</t>
        </is>
      </c>
      <c r="B33" s="2" t="n">
        <v>46054</v>
      </c>
      <c r="C33" t="inlineStr">
        <is>
          <t>Social Anxiety</t>
        </is>
      </c>
      <c r="D33" t="inlineStr">
        <is>
          <t>Long Video</t>
        </is>
      </c>
      <c r="E33" t="inlineStr">
        <is>
          <t>Visual</t>
        </is>
      </c>
      <c r="F33" t="inlineStr">
        <is>
          <t>Afternoon</t>
        </is>
      </c>
      <c r="G33" t="inlineStr">
        <is>
          <t>Story</t>
        </is>
      </c>
      <c r="H33" t="n">
        <v>177</v>
      </c>
      <c r="I33" t="n">
        <v>42626</v>
      </c>
      <c r="J33" t="n">
        <v>4841</v>
      </c>
      <c r="K33" t="n">
        <v>1340</v>
      </c>
      <c r="L33" t="n">
        <v>1266</v>
      </c>
      <c r="M33" t="n">
        <v>595</v>
      </c>
      <c r="N33" t="n">
        <v>0.613</v>
      </c>
      <c r="O33" t="inlineStr">
        <is>
          <t>I thought I was the only one experiencing this.</t>
        </is>
      </c>
      <c r="P33">
        <f>IFERROR((J33+K33+L33+M33)/I33,0)</f>
        <v/>
      </c>
      <c r="Q33">
        <f>IFERROR((2*K33+2*L33+J33)/I33,0)</f>
        <v/>
      </c>
      <c r="R33">
        <f>IFERROR(L33/K33,0)</f>
        <v/>
      </c>
      <c r="S33">
        <f>IF(AND(P33&gt;=0.10,Q33&gt;=0.08,N33&gt;=0.60),"Eligible","Not Eligible")</f>
        <v/>
      </c>
      <c r="T33">
        <f>IFS(P33&gt;=0.20,"A+",P33&gt;=0.15,"A",P33&gt;=0.10,"B",P33&gt;=0.05,"C",TRUE,"D")</f>
        <v/>
      </c>
    </row>
    <row r="34">
      <c r="A34" t="inlineStr">
        <is>
          <t>P033</t>
        </is>
      </c>
      <c r="B34" s="2" t="n">
        <v>46055</v>
      </c>
      <c r="C34" t="inlineStr">
        <is>
          <t>Overthinking</t>
        </is>
      </c>
      <c r="D34" t="inlineStr">
        <is>
          <t>Long Video</t>
        </is>
      </c>
      <c r="E34" t="inlineStr">
        <is>
          <t>Text</t>
        </is>
      </c>
      <c r="F34" t="inlineStr">
        <is>
          <t>Evening</t>
        </is>
      </c>
      <c r="G34" t="inlineStr">
        <is>
          <t>Question</t>
        </is>
      </c>
      <c r="H34" t="n">
        <v>114</v>
      </c>
      <c r="I34" t="n">
        <v>47808</v>
      </c>
      <c r="J34" t="n">
        <v>5476</v>
      </c>
      <c r="K34" t="n">
        <v>1516</v>
      </c>
      <c r="L34" t="n">
        <v>1432</v>
      </c>
      <c r="M34" t="n">
        <v>674</v>
      </c>
      <c r="N34" t="n">
        <v>0.66</v>
      </c>
      <c r="O34" t="inlineStr">
        <is>
          <t>My brain does this all the time.</t>
        </is>
      </c>
      <c r="P34">
        <f>IFERROR((J34+K34+L34+M34)/I34,0)</f>
        <v/>
      </c>
      <c r="Q34">
        <f>IFERROR((2*K34+2*L34+J34)/I34,0)</f>
        <v/>
      </c>
      <c r="R34">
        <f>IFERROR(L34/K34,0)</f>
        <v/>
      </c>
      <c r="S34">
        <f>IF(AND(P34&gt;=0.10,Q34&gt;=0.08,N34&gt;=0.60),"Eligible","Not Eligible")</f>
        <v/>
      </c>
      <c r="T34">
        <f>IFS(P34&gt;=0.20,"A+",P34&gt;=0.15,"A",P34&gt;=0.10,"B",P34&gt;=0.05,"C",TRUE,"D")</f>
        <v/>
      </c>
    </row>
    <row r="35">
      <c r="A35" t="inlineStr">
        <is>
          <t>P034</t>
        </is>
      </c>
      <c r="B35" s="2" t="n">
        <v>46056</v>
      </c>
      <c r="C35" t="inlineStr">
        <is>
          <t>Dating</t>
        </is>
      </c>
      <c r="D35" t="inlineStr">
        <is>
          <t>Long Video</t>
        </is>
      </c>
      <c r="E35" t="inlineStr">
        <is>
          <t>Text</t>
        </is>
      </c>
      <c r="F35" t="inlineStr">
        <is>
          <t>Afternoon</t>
        </is>
      </c>
      <c r="G35" t="inlineStr">
        <is>
          <t>Question</t>
        </is>
      </c>
      <c r="H35" t="n">
        <v>178</v>
      </c>
      <c r="I35" t="n">
        <v>27928</v>
      </c>
      <c r="J35" t="n">
        <v>2873</v>
      </c>
      <c r="K35" t="n">
        <v>795</v>
      </c>
      <c r="L35" t="n">
        <v>751</v>
      </c>
      <c r="M35" t="n">
        <v>353</v>
      </c>
      <c r="N35" t="n">
        <v>0.398</v>
      </c>
      <c r="O35" t="inlineStr">
        <is>
          <t>Interesting perspective and useful advice.</t>
        </is>
      </c>
      <c r="P35">
        <f>IFERROR((J35+K35+L35+M35)/I35,0)</f>
        <v/>
      </c>
      <c r="Q35">
        <f>IFERROR((2*K35+2*L35+J35)/I35,0)</f>
        <v/>
      </c>
      <c r="R35">
        <f>IFERROR(L35/K35,0)</f>
        <v/>
      </c>
      <c r="S35">
        <f>IF(AND(P35&gt;=0.10,Q35&gt;=0.08,N35&gt;=0.60),"Eligible","Not Eligible")</f>
        <v/>
      </c>
      <c r="T35">
        <f>IFS(P35&gt;=0.20,"A+",P35&gt;=0.15,"A",P35&gt;=0.10,"B",P35&gt;=0.05,"C",TRUE,"D")</f>
        <v/>
      </c>
    </row>
    <row r="36">
      <c r="A36" t="inlineStr">
        <is>
          <t>P035</t>
        </is>
      </c>
      <c r="B36" s="2" t="n">
        <v>46057</v>
      </c>
      <c r="C36" t="inlineStr">
        <is>
          <t>Dating</t>
        </is>
      </c>
      <c r="D36" t="inlineStr">
        <is>
          <t>Long Video</t>
        </is>
      </c>
      <c r="E36" t="inlineStr">
        <is>
          <t>Visual</t>
        </is>
      </c>
      <c r="F36" t="inlineStr">
        <is>
          <t>Afternoon</t>
        </is>
      </c>
      <c r="G36" t="inlineStr">
        <is>
          <t>Question</t>
        </is>
      </c>
      <c r="H36" t="n">
        <v>63</v>
      </c>
      <c r="I36" t="n">
        <v>24198</v>
      </c>
      <c r="J36" t="n">
        <v>2372</v>
      </c>
      <c r="K36" t="n">
        <v>657</v>
      </c>
      <c r="L36" t="n">
        <v>620</v>
      </c>
      <c r="M36" t="n">
        <v>292</v>
      </c>
      <c r="N36" t="n">
        <v>0.445</v>
      </c>
      <c r="O36" t="inlineStr">
        <is>
          <t>Not really relatable to me.</t>
        </is>
      </c>
      <c r="P36">
        <f>IFERROR((J36+K36+L36+M36)/I36,0)</f>
        <v/>
      </c>
      <c r="Q36">
        <f>IFERROR((2*K36+2*L36+J36)/I36,0)</f>
        <v/>
      </c>
      <c r="R36">
        <f>IFERROR(L36/K36,0)</f>
        <v/>
      </c>
      <c r="S36">
        <f>IF(AND(P36&gt;=0.10,Q36&gt;=0.08,N36&gt;=0.60),"Eligible","Not Eligible")</f>
        <v/>
      </c>
      <c r="T36">
        <f>IFS(P36&gt;=0.20,"A+",P36&gt;=0.15,"A",P36&gt;=0.10,"B",P36&gt;=0.05,"C",TRUE,"D")</f>
        <v/>
      </c>
    </row>
    <row r="37">
      <c r="A37" t="inlineStr">
        <is>
          <t>P036</t>
        </is>
      </c>
      <c r="B37" s="2" t="n">
        <v>46058</v>
      </c>
      <c r="C37" t="inlineStr">
        <is>
          <t>Social Anxiety</t>
        </is>
      </c>
      <c r="D37" t="inlineStr">
        <is>
          <t>Short Video</t>
        </is>
      </c>
      <c r="E37" t="inlineStr">
        <is>
          <t>Text</t>
        </is>
      </c>
      <c r="F37" t="inlineStr">
        <is>
          <t>Evening</t>
        </is>
      </c>
      <c r="G37" t="inlineStr">
        <is>
          <t>Question</t>
        </is>
      </c>
      <c r="H37" t="n">
        <v>26</v>
      </c>
      <c r="I37" t="n">
        <v>24758</v>
      </c>
      <c r="J37" t="n">
        <v>2078</v>
      </c>
      <c r="K37" t="n">
        <v>575</v>
      </c>
      <c r="L37" t="n">
        <v>543</v>
      </c>
      <c r="M37" t="n">
        <v>255</v>
      </c>
      <c r="N37" t="n">
        <v>0.767</v>
      </c>
      <c r="O37" t="inlineStr">
        <is>
          <t>This is exactly how I feel in social situations.</t>
        </is>
      </c>
      <c r="P37">
        <f>IFERROR((J37+K37+L37+M37)/I37,0)</f>
        <v/>
      </c>
      <c r="Q37">
        <f>IFERROR((2*K37+2*L37+J37)/I37,0)</f>
        <v/>
      </c>
      <c r="R37">
        <f>IFERROR(L37/K37,0)</f>
        <v/>
      </c>
      <c r="S37">
        <f>IF(AND(P37&gt;=0.10,Q37&gt;=0.08,N37&gt;=0.60),"Eligible","Not Eligible")</f>
        <v/>
      </c>
      <c r="T37">
        <f>IFS(P37&gt;=0.20,"A+",P37&gt;=0.15,"A",P37&gt;=0.10,"B",P37&gt;=0.05,"C",TRUE,"D")</f>
        <v/>
      </c>
    </row>
    <row r="38">
      <c r="A38" t="inlineStr">
        <is>
          <t>P037</t>
        </is>
      </c>
      <c r="B38" s="2" t="n">
        <v>46059</v>
      </c>
      <c r="C38" t="inlineStr">
        <is>
          <t>Overthinking</t>
        </is>
      </c>
      <c r="D38" t="inlineStr">
        <is>
          <t>Long Video</t>
        </is>
      </c>
      <c r="E38" t="inlineStr">
        <is>
          <t>Text</t>
        </is>
      </c>
      <c r="F38" t="inlineStr">
        <is>
          <t>Night</t>
        </is>
      </c>
      <c r="G38" t="inlineStr">
        <is>
          <t>Question</t>
        </is>
      </c>
      <c r="H38" t="n">
        <v>147</v>
      </c>
      <c r="I38" t="n">
        <v>20254</v>
      </c>
      <c r="J38" t="n">
        <v>1575</v>
      </c>
      <c r="K38" t="n">
        <v>436</v>
      </c>
      <c r="L38" t="n">
        <v>412</v>
      </c>
      <c r="M38" t="n">
        <v>193</v>
      </c>
      <c r="N38" t="n">
        <v>0.642</v>
      </c>
      <c r="O38" t="inlineStr">
        <is>
          <t>My brain does this all the time.</t>
        </is>
      </c>
      <c r="P38">
        <f>IFERROR((J38+K38+L38+M38)/I38,0)</f>
        <v/>
      </c>
      <c r="Q38">
        <f>IFERROR((2*K38+2*L38+J38)/I38,0)</f>
        <v/>
      </c>
      <c r="R38">
        <f>IFERROR(L38/K38,0)</f>
        <v/>
      </c>
      <c r="S38">
        <f>IF(AND(P38&gt;=0.10,Q38&gt;=0.08,N38&gt;=0.60),"Eligible","Not Eligible")</f>
        <v/>
      </c>
      <c r="T38">
        <f>IFS(P38&gt;=0.20,"A+",P38&gt;=0.15,"A",P38&gt;=0.10,"B",P38&gt;=0.05,"C",TRUE,"D")</f>
        <v/>
      </c>
    </row>
    <row r="39">
      <c r="A39" t="inlineStr">
        <is>
          <t>P038</t>
        </is>
      </c>
      <c r="B39" s="2" t="n">
        <v>46060</v>
      </c>
      <c r="C39" t="inlineStr">
        <is>
          <t>Social Anxiety</t>
        </is>
      </c>
      <c r="D39" t="inlineStr">
        <is>
          <t>Short Video</t>
        </is>
      </c>
      <c r="E39" t="inlineStr">
        <is>
          <t>Text</t>
        </is>
      </c>
      <c r="F39" t="inlineStr">
        <is>
          <t>Afternoon</t>
        </is>
      </c>
      <c r="G39" t="inlineStr">
        <is>
          <t>Advice</t>
        </is>
      </c>
      <c r="H39" t="n">
        <v>33</v>
      </c>
      <c r="I39" t="n">
        <v>49238</v>
      </c>
      <c r="J39" t="n">
        <v>4908</v>
      </c>
      <c r="K39" t="n">
        <v>1359</v>
      </c>
      <c r="L39" t="n">
        <v>1283</v>
      </c>
      <c r="M39" t="n">
        <v>604</v>
      </c>
      <c r="N39" t="n">
        <v>0.646</v>
      </c>
      <c r="O39" t="inlineStr">
        <is>
          <t>Very relatable, this explained my feelings perfectly.</t>
        </is>
      </c>
      <c r="P39">
        <f>IFERROR((J39+K39+L39+M39)/I39,0)</f>
        <v/>
      </c>
      <c r="Q39">
        <f>IFERROR((2*K39+2*L39+J39)/I39,0)</f>
        <v/>
      </c>
      <c r="R39">
        <f>IFERROR(L39/K39,0)</f>
        <v/>
      </c>
      <c r="S39">
        <f>IF(AND(P39&gt;=0.10,Q39&gt;=0.08,N39&gt;=0.60),"Eligible","Not Eligible")</f>
        <v/>
      </c>
      <c r="T39">
        <f>IFS(P39&gt;=0.20,"A+",P39&gt;=0.15,"A",P39&gt;=0.10,"B",P39&gt;=0.05,"C",TRUE,"D")</f>
        <v/>
      </c>
    </row>
    <row r="40">
      <c r="A40" t="inlineStr">
        <is>
          <t>P039</t>
        </is>
      </c>
      <c r="B40" s="2" t="n">
        <v>46061</v>
      </c>
      <c r="C40" t="inlineStr">
        <is>
          <t>Social Anxiety</t>
        </is>
      </c>
      <c r="D40" t="inlineStr">
        <is>
          <t>Short Video</t>
        </is>
      </c>
      <c r="E40" t="inlineStr">
        <is>
          <t>Text</t>
        </is>
      </c>
      <c r="F40" t="inlineStr">
        <is>
          <t>Night</t>
        </is>
      </c>
      <c r="G40" t="inlineStr">
        <is>
          <t>Advice</t>
        </is>
      </c>
      <c r="H40" t="n">
        <v>26</v>
      </c>
      <c r="I40" t="n">
        <v>6252</v>
      </c>
      <c r="J40" t="n">
        <v>675</v>
      </c>
      <c r="K40" t="n">
        <v>186</v>
      </c>
      <c r="L40" t="n">
        <v>176</v>
      </c>
      <c r="M40" t="n">
        <v>83</v>
      </c>
      <c r="N40" t="n">
        <v>0.672</v>
      </c>
      <c r="O40" t="inlineStr">
        <is>
          <t>Good post but I do not relate to this.</t>
        </is>
      </c>
      <c r="P40">
        <f>IFERROR((J40+K40+L40+M40)/I40,0)</f>
        <v/>
      </c>
      <c r="Q40">
        <f>IFERROR((2*K40+2*L40+J40)/I40,0)</f>
        <v/>
      </c>
      <c r="R40">
        <f>IFERROR(L40/K40,0)</f>
        <v/>
      </c>
      <c r="S40">
        <f>IF(AND(P40&gt;=0.10,Q40&gt;=0.08,N40&gt;=0.60),"Eligible","Not Eligible")</f>
        <v/>
      </c>
      <c r="T40">
        <f>IFS(P40&gt;=0.20,"A+",P40&gt;=0.15,"A",P40&gt;=0.10,"B",P40&gt;=0.05,"C",TRUE,"D")</f>
        <v/>
      </c>
    </row>
    <row r="41">
      <c r="A41" t="inlineStr">
        <is>
          <t>P040</t>
        </is>
      </c>
      <c r="B41" s="2" t="n">
        <v>46062</v>
      </c>
      <c r="C41" t="inlineStr">
        <is>
          <t>Self Confidence</t>
        </is>
      </c>
      <c r="D41" t="inlineStr">
        <is>
          <t>Short Video</t>
        </is>
      </c>
      <c r="E41" t="inlineStr">
        <is>
          <t>Visual</t>
        </is>
      </c>
      <c r="F41" t="inlineStr">
        <is>
          <t>Afternoon</t>
        </is>
      </c>
      <c r="G41" t="inlineStr">
        <is>
          <t>Question</t>
        </is>
      </c>
      <c r="H41" t="n">
        <v>23</v>
      </c>
      <c r="I41" t="n">
        <v>44764</v>
      </c>
      <c r="J41" t="n">
        <v>4072</v>
      </c>
      <c r="K41" t="n">
        <v>1127</v>
      </c>
      <c r="L41" t="n">
        <v>1065</v>
      </c>
      <c r="M41" t="n">
        <v>501</v>
      </c>
      <c r="N41" t="n">
        <v>0.715</v>
      </c>
      <c r="O41" t="inlineStr">
        <is>
          <t>This is exactly what I struggle with.</t>
        </is>
      </c>
      <c r="P41">
        <f>IFERROR((J41+K41+L41+M41)/I41,0)</f>
        <v/>
      </c>
      <c r="Q41">
        <f>IFERROR((2*K41+2*L41+J41)/I41,0)</f>
        <v/>
      </c>
      <c r="R41">
        <f>IFERROR(L41/K41,0)</f>
        <v/>
      </c>
      <c r="S41">
        <f>IF(AND(P41&gt;=0.10,Q41&gt;=0.08,N41&gt;=0.60),"Eligible","Not Eligible")</f>
        <v/>
      </c>
      <c r="T41">
        <f>IFS(P41&gt;=0.20,"A+",P41&gt;=0.15,"A",P41&gt;=0.10,"B",P41&gt;=0.05,"C",TRUE,"D")</f>
        <v/>
      </c>
    </row>
    <row r="42">
      <c r="A42" t="inlineStr">
        <is>
          <t>P041</t>
        </is>
      </c>
      <c r="B42" s="2" t="n">
        <v>46063</v>
      </c>
      <c r="C42" t="inlineStr">
        <is>
          <t>Self Confidence</t>
        </is>
      </c>
      <c r="D42" t="inlineStr">
        <is>
          <t>Short Video</t>
        </is>
      </c>
      <c r="E42" t="inlineStr">
        <is>
          <t>Text</t>
        </is>
      </c>
      <c r="F42" t="inlineStr">
        <is>
          <t>Night</t>
        </is>
      </c>
      <c r="G42" t="inlineStr">
        <is>
          <t>Story</t>
        </is>
      </c>
      <c r="H42" t="n">
        <v>21</v>
      </c>
      <c r="I42" t="n">
        <v>17173</v>
      </c>
      <c r="J42" t="n">
        <v>1043</v>
      </c>
      <c r="K42" t="n">
        <v>289</v>
      </c>
      <c r="L42" t="n">
        <v>272</v>
      </c>
      <c r="M42" t="n">
        <v>128</v>
      </c>
      <c r="N42" t="n">
        <v>0.6</v>
      </c>
      <c r="O42" t="inlineStr">
        <is>
          <t>Helpful advice, thank you.</t>
        </is>
      </c>
      <c r="P42">
        <f>IFERROR((J42+K42+L42+M42)/I42,0)</f>
        <v/>
      </c>
      <c r="Q42">
        <f>IFERROR((2*K42+2*L42+J42)/I42,0)</f>
        <v/>
      </c>
      <c r="R42">
        <f>IFERROR(L42/K42,0)</f>
        <v/>
      </c>
      <c r="S42">
        <f>IF(AND(P42&gt;=0.10,Q42&gt;=0.08,N42&gt;=0.60),"Eligible","Not Eligible")</f>
        <v/>
      </c>
      <c r="T42">
        <f>IFS(P42&gt;=0.20,"A+",P42&gt;=0.15,"A",P42&gt;=0.10,"B",P42&gt;=0.05,"C",TRUE,"D")</f>
        <v/>
      </c>
    </row>
    <row r="43">
      <c r="A43" t="inlineStr">
        <is>
          <t>P042</t>
        </is>
      </c>
      <c r="B43" s="2" t="n">
        <v>46064</v>
      </c>
      <c r="C43" t="inlineStr">
        <is>
          <t>Self Confidence</t>
        </is>
      </c>
      <c r="D43" t="inlineStr">
        <is>
          <t>Long Video</t>
        </is>
      </c>
      <c r="E43" t="inlineStr">
        <is>
          <t>Text</t>
        </is>
      </c>
      <c r="F43" t="inlineStr">
        <is>
          <t>Evening</t>
        </is>
      </c>
      <c r="G43" t="inlineStr">
        <is>
          <t>Question</t>
        </is>
      </c>
      <c r="H43" t="n">
        <v>156</v>
      </c>
      <c r="I43" t="n">
        <v>42441</v>
      </c>
      <c r="J43" t="n">
        <v>6374</v>
      </c>
      <c r="K43" t="n">
        <v>1765</v>
      </c>
      <c r="L43" t="n">
        <v>1667</v>
      </c>
      <c r="M43" t="n">
        <v>784</v>
      </c>
      <c r="N43" t="n">
        <v>0.519</v>
      </c>
      <c r="O43" t="inlineStr">
        <is>
          <t>This is exactly what I struggle with.</t>
        </is>
      </c>
      <c r="P43">
        <f>IFERROR((J43+K43+L43+M43)/I43,0)</f>
        <v/>
      </c>
      <c r="Q43">
        <f>IFERROR((2*K43+2*L43+J43)/I43,0)</f>
        <v/>
      </c>
      <c r="R43">
        <f>IFERROR(L43/K43,0)</f>
        <v/>
      </c>
      <c r="S43">
        <f>IF(AND(P43&gt;=0.10,Q43&gt;=0.08,N43&gt;=0.60),"Eligible","Not Eligible")</f>
        <v/>
      </c>
      <c r="T43">
        <f>IFS(P43&gt;=0.20,"A+",P43&gt;=0.15,"A",P43&gt;=0.10,"B",P43&gt;=0.05,"C",TRUE,"D")</f>
        <v/>
      </c>
    </row>
    <row r="44">
      <c r="A44" t="inlineStr">
        <is>
          <t>P043</t>
        </is>
      </c>
      <c r="B44" s="2" t="n">
        <v>46065</v>
      </c>
      <c r="C44" t="inlineStr">
        <is>
          <t>Dating</t>
        </is>
      </c>
      <c r="D44" t="inlineStr">
        <is>
          <t>Short Video</t>
        </is>
      </c>
      <c r="E44" t="inlineStr">
        <is>
          <t>Visual</t>
        </is>
      </c>
      <c r="F44" t="inlineStr">
        <is>
          <t>Afternoon</t>
        </is>
      </c>
      <c r="G44" t="inlineStr">
        <is>
          <t>Advice</t>
        </is>
      </c>
      <c r="H44" t="n">
        <v>28</v>
      </c>
      <c r="I44" t="n">
        <v>31698</v>
      </c>
      <c r="J44" t="n">
        <v>3557</v>
      </c>
      <c r="K44" t="n">
        <v>985</v>
      </c>
      <c r="L44" t="n">
        <v>930</v>
      </c>
      <c r="M44" t="n">
        <v>437</v>
      </c>
      <c r="N44" t="n">
        <v>0.695</v>
      </c>
      <c r="O44" t="inlineStr">
        <is>
          <t>Not really relatable to me.</t>
        </is>
      </c>
      <c r="P44">
        <f>IFERROR((J44+K44+L44+M44)/I44,0)</f>
        <v/>
      </c>
      <c r="Q44">
        <f>IFERROR((2*K44+2*L44+J44)/I44,0)</f>
        <v/>
      </c>
      <c r="R44">
        <f>IFERROR(L44/K44,0)</f>
        <v/>
      </c>
      <c r="S44">
        <f>IF(AND(P44&gt;=0.10,Q44&gt;=0.08,N44&gt;=0.60),"Eligible","Not Eligible")</f>
        <v/>
      </c>
      <c r="T44">
        <f>IFS(P44&gt;=0.20,"A+",P44&gt;=0.15,"A",P44&gt;=0.10,"B",P44&gt;=0.05,"C",TRUE,"D")</f>
        <v/>
      </c>
    </row>
    <row r="45">
      <c r="A45" t="inlineStr">
        <is>
          <t>P044</t>
        </is>
      </c>
      <c r="B45" s="2" t="n">
        <v>46066</v>
      </c>
      <c r="C45" t="inlineStr">
        <is>
          <t>Overthinking</t>
        </is>
      </c>
      <c r="D45" t="inlineStr">
        <is>
          <t>Long Video</t>
        </is>
      </c>
      <c r="E45" t="inlineStr">
        <is>
          <t>Visual</t>
        </is>
      </c>
      <c r="F45" t="inlineStr">
        <is>
          <t>Evening</t>
        </is>
      </c>
      <c r="G45" t="inlineStr">
        <is>
          <t>Advice</t>
        </is>
      </c>
      <c r="H45" t="n">
        <v>132</v>
      </c>
      <c r="I45" t="n">
        <v>20781</v>
      </c>
      <c r="J45" t="n">
        <v>1790</v>
      </c>
      <c r="K45" t="n">
        <v>495</v>
      </c>
      <c r="L45" t="n">
        <v>468</v>
      </c>
      <c r="M45" t="n">
        <v>220</v>
      </c>
      <c r="N45" t="n">
        <v>0.493</v>
      </c>
      <c r="O45" t="inlineStr">
        <is>
          <t>My brain does this all the time.</t>
        </is>
      </c>
      <c r="P45">
        <f>IFERROR((J45+K45+L45+M45)/I45,0)</f>
        <v/>
      </c>
      <c r="Q45">
        <f>IFERROR((2*K45+2*L45+J45)/I45,0)</f>
        <v/>
      </c>
      <c r="R45">
        <f>IFERROR(L45/K45,0)</f>
        <v/>
      </c>
      <c r="S45">
        <f>IF(AND(P45&gt;=0.10,Q45&gt;=0.08,N45&gt;=0.60),"Eligible","Not Eligible")</f>
        <v/>
      </c>
      <c r="T45">
        <f>IFS(P45&gt;=0.20,"A+",P45&gt;=0.15,"A",P45&gt;=0.10,"B",P45&gt;=0.05,"C",TRUE,"D")</f>
        <v/>
      </c>
    </row>
    <row r="46">
      <c r="A46" t="inlineStr">
        <is>
          <t>P045</t>
        </is>
      </c>
      <c r="B46" s="2" t="n">
        <v>46067</v>
      </c>
      <c r="C46" t="inlineStr">
        <is>
          <t>Overthinking</t>
        </is>
      </c>
      <c r="D46" t="inlineStr">
        <is>
          <t>Carousel</t>
        </is>
      </c>
      <c r="E46" t="inlineStr">
        <is>
          <t>Text</t>
        </is>
      </c>
      <c r="F46" t="inlineStr">
        <is>
          <t>Afternoon</t>
        </is>
      </c>
      <c r="G46" t="inlineStr">
        <is>
          <t>Story</t>
        </is>
      </c>
      <c r="H46" t="n">
        <v/>
      </c>
      <c r="I46" t="n">
        <v>18051</v>
      </c>
      <c r="J46" t="n">
        <v>1027</v>
      </c>
      <c r="K46" t="n">
        <v>284</v>
      </c>
      <c r="L46" t="n">
        <v>268</v>
      </c>
      <c r="M46" t="n">
        <v>126</v>
      </c>
      <c r="N46" t="n">
        <v>0.673</v>
      </c>
      <c r="O46" t="inlineStr">
        <is>
          <t>My brain does this all the time.</t>
        </is>
      </c>
      <c r="P46">
        <f>IFERROR((J46+K46+L46+M46)/I46,0)</f>
        <v/>
      </c>
      <c r="Q46">
        <f>IFERROR((2*K46+2*L46+J46)/I46,0)</f>
        <v/>
      </c>
      <c r="R46">
        <f>IFERROR(L46/K46,0)</f>
        <v/>
      </c>
      <c r="S46">
        <f>IF(AND(P46&gt;=0.10,Q46&gt;=0.08,N46&gt;=0.60),"Eligible","Not Eligible")</f>
        <v/>
      </c>
      <c r="T46">
        <f>IFS(P46&gt;=0.20,"A+",P46&gt;=0.15,"A",P46&gt;=0.10,"B",P46&gt;=0.05,"C",TRUE,"D")</f>
        <v/>
      </c>
    </row>
    <row r="47">
      <c r="A47" t="inlineStr">
        <is>
          <t>P046</t>
        </is>
      </c>
      <c r="B47" s="2" t="n">
        <v>46068</v>
      </c>
      <c r="C47" t="inlineStr">
        <is>
          <t>Overthinking</t>
        </is>
      </c>
      <c r="D47" t="inlineStr">
        <is>
          <t>Short Video</t>
        </is>
      </c>
      <c r="E47" t="inlineStr">
        <is>
          <t>Text</t>
        </is>
      </c>
      <c r="F47" t="inlineStr">
        <is>
          <t>Evening</t>
        </is>
      </c>
      <c r="G47" t="inlineStr">
        <is>
          <t>Advice</t>
        </is>
      </c>
      <c r="H47" t="n">
        <v>30</v>
      </c>
      <c r="I47" t="n">
        <v>44649</v>
      </c>
      <c r="J47" t="n">
        <v>2695</v>
      </c>
      <c r="K47" t="n">
        <v>746</v>
      </c>
      <c r="L47" t="n">
        <v>705</v>
      </c>
      <c r="M47" t="n">
        <v>331</v>
      </c>
      <c r="N47" t="n">
        <v>0.449</v>
      </c>
      <c r="O47" t="inlineStr">
        <is>
          <t>This topic is not relatable to me.</t>
        </is>
      </c>
      <c r="P47">
        <f>IFERROR((J47+K47+L47+M47)/I47,0)</f>
        <v/>
      </c>
      <c r="Q47">
        <f>IFERROR((2*K47+2*L47+J47)/I47,0)</f>
        <v/>
      </c>
      <c r="R47">
        <f>IFERROR(L47/K47,0)</f>
        <v/>
      </c>
      <c r="S47">
        <f>IF(AND(P47&gt;=0.10,Q47&gt;=0.08,N47&gt;=0.60),"Eligible","Not Eligible")</f>
        <v/>
      </c>
      <c r="T47">
        <f>IFS(P47&gt;=0.20,"A+",P47&gt;=0.15,"A",P47&gt;=0.10,"B",P47&gt;=0.05,"C",TRUE,"D")</f>
        <v/>
      </c>
    </row>
    <row r="48">
      <c r="A48" t="inlineStr">
        <is>
          <t>P047</t>
        </is>
      </c>
      <c r="B48" s="2" t="n">
        <v>46069</v>
      </c>
      <c r="C48" t="inlineStr">
        <is>
          <t>Overthinking</t>
        </is>
      </c>
      <c r="D48" t="inlineStr">
        <is>
          <t>Short Video</t>
        </is>
      </c>
      <c r="E48" t="inlineStr">
        <is>
          <t>Text</t>
        </is>
      </c>
      <c r="F48" t="inlineStr">
        <is>
          <t>Evening</t>
        </is>
      </c>
      <c r="G48" t="inlineStr">
        <is>
          <t>Question</t>
        </is>
      </c>
      <c r="H48" t="n">
        <v>19</v>
      </c>
      <c r="I48" t="n">
        <v>11949</v>
      </c>
      <c r="J48" t="n">
        <v>1155</v>
      </c>
      <c r="K48" t="n">
        <v>320</v>
      </c>
      <c r="L48" t="n">
        <v>302</v>
      </c>
      <c r="M48" t="n">
        <v>142</v>
      </c>
      <c r="N48" t="n">
        <v>0.804</v>
      </c>
      <c r="O48" t="inlineStr">
        <is>
          <t>My brain does this all the time.</t>
        </is>
      </c>
      <c r="P48">
        <f>IFERROR((J48+K48+L48+M48)/I48,0)</f>
        <v/>
      </c>
      <c r="Q48">
        <f>IFERROR((2*K48+2*L48+J48)/I48,0)</f>
        <v/>
      </c>
      <c r="R48">
        <f>IFERROR(L48/K48,0)</f>
        <v/>
      </c>
      <c r="S48">
        <f>IF(AND(P48&gt;=0.10,Q48&gt;=0.08,N48&gt;=0.60),"Eligible","Not Eligible")</f>
        <v/>
      </c>
      <c r="T48">
        <f>IFS(P48&gt;=0.20,"A+",P48&gt;=0.15,"A",P48&gt;=0.10,"B",P48&gt;=0.05,"C",TRUE,"D")</f>
        <v/>
      </c>
    </row>
    <row r="49">
      <c r="A49" t="inlineStr">
        <is>
          <t>P048</t>
        </is>
      </c>
      <c r="B49" s="2" t="n">
        <v>46070</v>
      </c>
      <c r="C49" t="inlineStr">
        <is>
          <t>Self Confidence</t>
        </is>
      </c>
      <c r="D49" t="inlineStr">
        <is>
          <t>Long Video</t>
        </is>
      </c>
      <c r="E49" t="inlineStr">
        <is>
          <t>Text</t>
        </is>
      </c>
      <c r="F49" t="inlineStr">
        <is>
          <t>Afternoon</t>
        </is>
      </c>
      <c r="G49" t="inlineStr">
        <is>
          <t>Story</t>
        </is>
      </c>
      <c r="H49" t="n">
        <v>88</v>
      </c>
      <c r="I49" t="n">
        <v>47289</v>
      </c>
      <c r="J49" t="n">
        <v>2583</v>
      </c>
      <c r="K49" t="n">
        <v>715</v>
      </c>
      <c r="L49" t="n">
        <v>675</v>
      </c>
      <c r="M49" t="n">
        <v>317</v>
      </c>
      <c r="N49" t="n">
        <v>0.681</v>
      </c>
      <c r="O49" t="inlineStr">
        <is>
          <t>I needed to hear this today.</t>
        </is>
      </c>
      <c r="P49">
        <f>IFERROR((J49+K49+L49+M49)/I49,0)</f>
        <v/>
      </c>
      <c r="Q49">
        <f>IFERROR((2*K49+2*L49+J49)/I49,0)</f>
        <v/>
      </c>
      <c r="R49">
        <f>IFERROR(L49/K49,0)</f>
        <v/>
      </c>
      <c r="S49">
        <f>IF(AND(P49&gt;=0.10,Q49&gt;=0.08,N49&gt;=0.60),"Eligible","Not Eligible")</f>
        <v/>
      </c>
      <c r="T49">
        <f>IFS(P49&gt;=0.20,"A+",P49&gt;=0.15,"A",P49&gt;=0.10,"B",P49&gt;=0.05,"C",TRUE,"D")</f>
        <v/>
      </c>
    </row>
    <row r="50">
      <c r="A50" t="inlineStr">
        <is>
          <t>P049</t>
        </is>
      </c>
      <c r="B50" s="2" t="n">
        <v>46071</v>
      </c>
      <c r="C50" t="inlineStr">
        <is>
          <t>Dating</t>
        </is>
      </c>
      <c r="D50" t="inlineStr">
        <is>
          <t>Short Video</t>
        </is>
      </c>
      <c r="E50" t="inlineStr">
        <is>
          <t>Text</t>
        </is>
      </c>
      <c r="F50" t="inlineStr">
        <is>
          <t>Afternoon</t>
        </is>
      </c>
      <c r="G50" t="inlineStr">
        <is>
          <t>Question</t>
        </is>
      </c>
      <c r="H50" t="n">
        <v>26</v>
      </c>
      <c r="I50" t="n">
        <v>13017</v>
      </c>
      <c r="J50" t="n">
        <v>782</v>
      </c>
      <c r="K50" t="n">
        <v>216</v>
      </c>
      <c r="L50" t="n">
        <v>204</v>
      </c>
      <c r="M50" t="n">
        <v>96</v>
      </c>
      <c r="N50" t="n">
        <v>0.703</v>
      </c>
      <c r="O50" t="inlineStr">
        <is>
          <t>This is so relatable to my dating life.</t>
        </is>
      </c>
      <c r="P50">
        <f>IFERROR((J50+K50+L50+M50)/I50,0)</f>
        <v/>
      </c>
      <c r="Q50">
        <f>IFERROR((2*K50+2*L50+J50)/I50,0)</f>
        <v/>
      </c>
      <c r="R50">
        <f>IFERROR(L50/K50,0)</f>
        <v/>
      </c>
      <c r="S50">
        <f>IF(AND(P50&gt;=0.10,Q50&gt;=0.08,N50&gt;=0.60),"Eligible","Not Eligible")</f>
        <v/>
      </c>
      <c r="T50">
        <f>IFS(P50&gt;=0.20,"A+",P50&gt;=0.15,"A",P50&gt;=0.10,"B",P50&gt;=0.05,"C",TRUE,"D")</f>
        <v/>
      </c>
    </row>
    <row r="51">
      <c r="A51" t="inlineStr">
        <is>
          <t>P050</t>
        </is>
      </c>
      <c r="B51" s="2" t="n">
        <v>46072</v>
      </c>
      <c r="C51" t="inlineStr">
        <is>
          <t>Dating</t>
        </is>
      </c>
      <c r="D51" t="inlineStr">
        <is>
          <t>Short Video</t>
        </is>
      </c>
      <c r="E51" t="inlineStr">
        <is>
          <t>Text</t>
        </is>
      </c>
      <c r="F51" t="inlineStr">
        <is>
          <t>Afternoon</t>
        </is>
      </c>
      <c r="G51" t="inlineStr">
        <is>
          <t>Question</t>
        </is>
      </c>
      <c r="H51" t="n">
        <v>39</v>
      </c>
      <c r="I51" t="n">
        <v>11941</v>
      </c>
      <c r="J51" t="n">
        <v>881</v>
      </c>
      <c r="K51" t="n">
        <v>244</v>
      </c>
      <c r="L51" t="n">
        <v>230</v>
      </c>
      <c r="M51" t="n">
        <v>108</v>
      </c>
      <c r="N51" t="n">
        <v>0.798</v>
      </c>
      <c r="O51" t="inlineStr">
        <is>
          <t>Interesting perspective and useful advice.</t>
        </is>
      </c>
      <c r="P51">
        <f>IFERROR((J51+K51+L51+M51)/I51,0)</f>
        <v/>
      </c>
      <c r="Q51">
        <f>IFERROR((2*K51+2*L51+J51)/I51,0)</f>
        <v/>
      </c>
      <c r="R51">
        <f>IFERROR(L51/K51,0)</f>
        <v/>
      </c>
      <c r="S51">
        <f>IF(AND(P51&gt;=0.10,Q51&gt;=0.08,N51&gt;=0.60),"Eligible","Not Eligible")</f>
        <v/>
      </c>
      <c r="T51">
        <f>IFS(P51&gt;=0.20,"A+",P51&gt;=0.15,"A",P51&gt;=0.10,"B",P51&gt;=0.05,"C",TRUE,"D")</f>
        <v/>
      </c>
    </row>
    <row r="52">
      <c r="A52" t="inlineStr">
        <is>
          <t>P051</t>
        </is>
      </c>
      <c r="B52" s="2" t="n">
        <v>46073</v>
      </c>
      <c r="C52" t="inlineStr">
        <is>
          <t>Self Confidence</t>
        </is>
      </c>
      <c r="D52" t="inlineStr">
        <is>
          <t>Short Video</t>
        </is>
      </c>
      <c r="E52" t="inlineStr">
        <is>
          <t>Visual</t>
        </is>
      </c>
      <c r="F52" t="inlineStr">
        <is>
          <t>Morning</t>
        </is>
      </c>
      <c r="G52" t="inlineStr">
        <is>
          <t>Story</t>
        </is>
      </c>
      <c r="H52" t="n">
        <v>35</v>
      </c>
      <c r="I52" t="n">
        <v>30934</v>
      </c>
      <c r="J52" t="n">
        <v>2011</v>
      </c>
      <c r="K52" t="n">
        <v>557</v>
      </c>
      <c r="L52" t="n">
        <v>526</v>
      </c>
      <c r="M52" t="n">
        <v>247</v>
      </c>
      <c r="N52" t="n">
        <v>0.887</v>
      </c>
      <c r="O52" t="inlineStr">
        <is>
          <t>Helpful advice, thank you.</t>
        </is>
      </c>
      <c r="P52">
        <f>IFERROR((J52+K52+L52+M52)/I52,0)</f>
        <v/>
      </c>
      <c r="Q52">
        <f>IFERROR((2*K52+2*L52+J52)/I52,0)</f>
        <v/>
      </c>
      <c r="R52">
        <f>IFERROR(L52/K52,0)</f>
        <v/>
      </c>
      <c r="S52">
        <f>IF(AND(P52&gt;=0.10,Q52&gt;=0.08,N52&gt;=0.60),"Eligible","Not Eligible")</f>
        <v/>
      </c>
      <c r="T52">
        <f>IFS(P52&gt;=0.20,"A+",P52&gt;=0.15,"A",P52&gt;=0.10,"B",P52&gt;=0.05,"C",TRUE,"D")</f>
        <v/>
      </c>
    </row>
    <row r="53">
      <c r="A53" t="inlineStr">
        <is>
          <t>P052</t>
        </is>
      </c>
      <c r="B53" s="2" t="n">
        <v>46074</v>
      </c>
      <c r="C53" t="inlineStr">
        <is>
          <t>Dating</t>
        </is>
      </c>
      <c r="D53" t="inlineStr">
        <is>
          <t>Short Video</t>
        </is>
      </c>
      <c r="E53" t="inlineStr">
        <is>
          <t>Text</t>
        </is>
      </c>
      <c r="F53" t="inlineStr">
        <is>
          <t>Night</t>
        </is>
      </c>
      <c r="G53" t="inlineStr">
        <is>
          <t>Question</t>
        </is>
      </c>
      <c r="H53" t="n">
        <v>50</v>
      </c>
      <c r="I53" t="n">
        <v>28386</v>
      </c>
      <c r="J53" t="n">
        <v>3657</v>
      </c>
      <c r="K53" t="n">
        <v>1012</v>
      </c>
      <c r="L53" t="n">
        <v>956</v>
      </c>
      <c r="M53" t="n">
        <v>450</v>
      </c>
      <c r="N53" t="n">
        <v>0.802</v>
      </c>
      <c r="O53" t="inlineStr">
        <is>
          <t>This explains what many people experience.</t>
        </is>
      </c>
      <c r="P53">
        <f>IFERROR((J53+K53+L53+M53)/I53,0)</f>
        <v/>
      </c>
      <c r="Q53">
        <f>IFERROR((2*K53+2*L53+J53)/I53,0)</f>
        <v/>
      </c>
      <c r="R53">
        <f>IFERROR(L53/K53,0)</f>
        <v/>
      </c>
      <c r="S53">
        <f>IF(AND(P53&gt;=0.10,Q53&gt;=0.08,N53&gt;=0.60),"Eligible","Not Eligible")</f>
        <v/>
      </c>
      <c r="T53">
        <f>IFS(P53&gt;=0.20,"A+",P53&gt;=0.15,"A",P53&gt;=0.10,"B",P53&gt;=0.05,"C",TRUE,"D")</f>
        <v/>
      </c>
    </row>
    <row r="54">
      <c r="A54" t="inlineStr">
        <is>
          <t>P053</t>
        </is>
      </c>
      <c r="B54" s="2" t="n">
        <v>46075</v>
      </c>
      <c r="C54" t="inlineStr">
        <is>
          <t>Self Confidence</t>
        </is>
      </c>
      <c r="D54" t="inlineStr">
        <is>
          <t>Carousel</t>
        </is>
      </c>
      <c r="E54" t="inlineStr">
        <is>
          <t>Text</t>
        </is>
      </c>
      <c r="F54" t="inlineStr">
        <is>
          <t>Morning</t>
        </is>
      </c>
      <c r="G54" t="inlineStr">
        <is>
          <t>Advice</t>
        </is>
      </c>
      <c r="H54" t="n">
        <v/>
      </c>
      <c r="I54" t="n">
        <v>15209</v>
      </c>
      <c r="J54" t="n">
        <v>560</v>
      </c>
      <c r="K54" t="n">
        <v>155</v>
      </c>
      <c r="L54" t="n">
        <v>146</v>
      </c>
      <c r="M54" t="n">
        <v>69</v>
      </c>
      <c r="N54" t="n">
        <v>0.381</v>
      </c>
      <c r="O54" t="inlineStr">
        <is>
          <t>This is exactly what I struggle with.</t>
        </is>
      </c>
      <c r="P54">
        <f>IFERROR((J54+K54+L54+M54)/I54,0)</f>
        <v/>
      </c>
      <c r="Q54">
        <f>IFERROR((2*K54+2*L54+J54)/I54,0)</f>
        <v/>
      </c>
      <c r="R54">
        <f>IFERROR(L54/K54,0)</f>
        <v/>
      </c>
      <c r="S54">
        <f>IF(AND(P54&gt;=0.10,Q54&gt;=0.08,N54&gt;=0.60),"Eligible","Not Eligible")</f>
        <v/>
      </c>
      <c r="T54">
        <f>IFS(P54&gt;=0.20,"A+",P54&gt;=0.15,"A",P54&gt;=0.10,"B",P54&gt;=0.05,"C",TRUE,"D")</f>
        <v/>
      </c>
    </row>
    <row r="55">
      <c r="A55" t="inlineStr">
        <is>
          <t>P054</t>
        </is>
      </c>
      <c r="B55" s="2" t="n">
        <v>46076</v>
      </c>
      <c r="C55" t="inlineStr">
        <is>
          <t>Overthinking</t>
        </is>
      </c>
      <c r="D55" t="inlineStr">
        <is>
          <t>Carousel</t>
        </is>
      </c>
      <c r="E55" t="inlineStr">
        <is>
          <t>Visual</t>
        </is>
      </c>
      <c r="F55" t="inlineStr">
        <is>
          <t>Morning</t>
        </is>
      </c>
      <c r="G55" t="inlineStr">
        <is>
          <t>Question</t>
        </is>
      </c>
      <c r="H55" t="n">
        <v/>
      </c>
      <c r="I55" t="n">
        <v>22715</v>
      </c>
      <c r="J55" t="n">
        <v>2348</v>
      </c>
      <c r="K55" t="n">
        <v>650</v>
      </c>
      <c r="L55" t="n">
        <v>614</v>
      </c>
      <c r="M55" t="n">
        <v>289</v>
      </c>
      <c r="N55" t="n">
        <v>0.454</v>
      </c>
      <c r="O55" t="inlineStr">
        <is>
          <t>This topic is not relatable to me.</t>
        </is>
      </c>
      <c r="P55">
        <f>IFERROR((J55+K55+L55+M55)/I55,0)</f>
        <v/>
      </c>
      <c r="Q55">
        <f>IFERROR((2*K55+2*L55+J55)/I55,0)</f>
        <v/>
      </c>
      <c r="R55">
        <f>IFERROR(L55/K55,0)</f>
        <v/>
      </c>
      <c r="S55">
        <f>IF(AND(P55&gt;=0.10,Q55&gt;=0.08,N55&gt;=0.60),"Eligible","Not Eligible")</f>
        <v/>
      </c>
      <c r="T55">
        <f>IFS(P55&gt;=0.20,"A+",P55&gt;=0.15,"A",P55&gt;=0.10,"B",P55&gt;=0.05,"C",TRUE,"D")</f>
        <v/>
      </c>
    </row>
    <row r="56">
      <c r="A56" t="inlineStr">
        <is>
          <t>P055</t>
        </is>
      </c>
      <c r="B56" s="2" t="n">
        <v>46077</v>
      </c>
      <c r="C56" t="inlineStr">
        <is>
          <t>Self Confidence</t>
        </is>
      </c>
      <c r="D56" t="inlineStr">
        <is>
          <t>Long Video</t>
        </is>
      </c>
      <c r="E56" t="inlineStr">
        <is>
          <t>Visual</t>
        </is>
      </c>
      <c r="F56" t="inlineStr">
        <is>
          <t>Evening</t>
        </is>
      </c>
      <c r="G56" t="inlineStr">
        <is>
          <t>Story</t>
        </is>
      </c>
      <c r="H56" t="n">
        <v>118</v>
      </c>
      <c r="I56" t="n">
        <v>33920</v>
      </c>
      <c r="J56" t="n">
        <v>3749</v>
      </c>
      <c r="K56" t="n">
        <v>1038</v>
      </c>
      <c r="L56" t="n">
        <v>980</v>
      </c>
      <c r="M56" t="n">
        <v>461</v>
      </c>
      <c r="N56" t="n">
        <v>0.539</v>
      </c>
      <c r="O56" t="inlineStr">
        <is>
          <t>I don't personally relate to this.</t>
        </is>
      </c>
      <c r="P56">
        <f>IFERROR((J56+K56+L56+M56)/I56,0)</f>
        <v/>
      </c>
      <c r="Q56">
        <f>IFERROR((2*K56+2*L56+J56)/I56,0)</f>
        <v/>
      </c>
      <c r="R56">
        <f>IFERROR(L56/K56,0)</f>
        <v/>
      </c>
      <c r="S56">
        <f>IF(AND(P56&gt;=0.10,Q56&gt;=0.08,N56&gt;=0.60),"Eligible","Not Eligible")</f>
        <v/>
      </c>
      <c r="T56">
        <f>IFS(P56&gt;=0.20,"A+",P56&gt;=0.15,"A",P56&gt;=0.10,"B",P56&gt;=0.05,"C",TRUE,"D")</f>
        <v/>
      </c>
    </row>
    <row r="57">
      <c r="A57" t="inlineStr">
        <is>
          <t>P056</t>
        </is>
      </c>
      <c r="B57" s="2" t="n">
        <v>46078</v>
      </c>
      <c r="C57" t="inlineStr">
        <is>
          <t>Overthinking</t>
        </is>
      </c>
      <c r="D57" t="inlineStr">
        <is>
          <t>Carousel</t>
        </is>
      </c>
      <c r="E57" t="inlineStr">
        <is>
          <t>Visual</t>
        </is>
      </c>
      <c r="F57" t="inlineStr">
        <is>
          <t>Afternoon</t>
        </is>
      </c>
      <c r="G57" t="inlineStr">
        <is>
          <t>Story</t>
        </is>
      </c>
      <c r="H57" t="n">
        <v/>
      </c>
      <c r="I57" t="n">
        <v>36703</v>
      </c>
      <c r="J57" t="n">
        <v>5694</v>
      </c>
      <c r="K57" t="n">
        <v>1576</v>
      </c>
      <c r="L57" t="n">
        <v>1489</v>
      </c>
      <c r="M57" t="n">
        <v>700</v>
      </c>
      <c r="N57" t="n">
        <v>0.623</v>
      </c>
      <c r="O57" t="inlineStr">
        <is>
          <t>This topic is not relatable to me.</t>
        </is>
      </c>
      <c r="P57">
        <f>IFERROR((J57+K57+L57+M57)/I57,0)</f>
        <v/>
      </c>
      <c r="Q57">
        <f>IFERROR((2*K57+2*L57+J57)/I57,0)</f>
        <v/>
      </c>
      <c r="R57">
        <f>IFERROR(L57/K57,0)</f>
        <v/>
      </c>
      <c r="S57">
        <f>IF(AND(P57&gt;=0.10,Q57&gt;=0.08,N57&gt;=0.60),"Eligible","Not Eligible")</f>
        <v/>
      </c>
      <c r="T57">
        <f>IFS(P57&gt;=0.20,"A+",P57&gt;=0.15,"A",P57&gt;=0.10,"B",P57&gt;=0.05,"C",TRUE,"D")</f>
        <v/>
      </c>
    </row>
    <row r="58">
      <c r="A58" t="inlineStr">
        <is>
          <t>P057</t>
        </is>
      </c>
      <c r="B58" s="2" t="n">
        <v>46079</v>
      </c>
      <c r="C58" t="inlineStr">
        <is>
          <t>Overthinking</t>
        </is>
      </c>
      <c r="D58" t="inlineStr">
        <is>
          <t>Carousel</t>
        </is>
      </c>
      <c r="E58" t="inlineStr">
        <is>
          <t>Visual</t>
        </is>
      </c>
      <c r="F58" t="inlineStr">
        <is>
          <t>Night</t>
        </is>
      </c>
      <c r="G58" t="inlineStr">
        <is>
          <t>Story</t>
        </is>
      </c>
      <c r="H58" t="n">
        <v/>
      </c>
      <c r="I58" t="n">
        <v>47318</v>
      </c>
      <c r="J58" t="n">
        <v>3838</v>
      </c>
      <c r="K58" t="n">
        <v>1062</v>
      </c>
      <c r="L58" t="n">
        <v>1003</v>
      </c>
      <c r="M58" t="n">
        <v>472</v>
      </c>
      <c r="N58" t="n">
        <v>0.6870000000000001</v>
      </c>
      <c r="O58" t="inlineStr">
        <is>
          <t>I feel understood by this post.</t>
        </is>
      </c>
      <c r="P58">
        <f>IFERROR((J58+K58+L58+M58)/I58,0)</f>
        <v/>
      </c>
      <c r="Q58">
        <f>IFERROR((2*K58+2*L58+J58)/I58,0)</f>
        <v/>
      </c>
      <c r="R58">
        <f>IFERROR(L58/K58,0)</f>
        <v/>
      </c>
      <c r="S58">
        <f>IF(AND(P58&gt;=0.10,Q58&gt;=0.08,N58&gt;=0.60),"Eligible","Not Eligible")</f>
        <v/>
      </c>
      <c r="T58">
        <f>IFS(P58&gt;=0.20,"A+",P58&gt;=0.15,"A",P58&gt;=0.10,"B",P58&gt;=0.05,"C",TRUE,"D")</f>
        <v/>
      </c>
    </row>
    <row r="59">
      <c r="A59" t="inlineStr">
        <is>
          <t>P058</t>
        </is>
      </c>
      <c r="B59" s="2" t="n">
        <v>46080</v>
      </c>
      <c r="C59" t="inlineStr">
        <is>
          <t>Social Anxiety</t>
        </is>
      </c>
      <c r="D59" t="inlineStr">
        <is>
          <t>Short Video</t>
        </is>
      </c>
      <c r="E59" t="inlineStr">
        <is>
          <t>Text</t>
        </is>
      </c>
      <c r="F59" t="inlineStr">
        <is>
          <t>Evening</t>
        </is>
      </c>
      <c r="G59" t="inlineStr">
        <is>
          <t>Question</t>
        </is>
      </c>
      <c r="H59" t="n">
        <v>53</v>
      </c>
      <c r="I59" t="n">
        <v>9637</v>
      </c>
      <c r="J59" t="n">
        <v>905</v>
      </c>
      <c r="K59" t="n">
        <v>250</v>
      </c>
      <c r="L59" t="n">
        <v>236</v>
      </c>
      <c r="M59" t="n">
        <v>111</v>
      </c>
      <c r="N59" t="n">
        <v>0.576</v>
      </c>
      <c r="O59" t="inlineStr">
        <is>
          <t>Useful advice, I can try this.</t>
        </is>
      </c>
      <c r="P59">
        <f>IFERROR((J59+K59+L59+M59)/I59,0)</f>
        <v/>
      </c>
      <c r="Q59">
        <f>IFERROR((2*K59+2*L59+J59)/I59,0)</f>
        <v/>
      </c>
      <c r="R59">
        <f>IFERROR(L59/K59,0)</f>
        <v/>
      </c>
      <c r="S59">
        <f>IF(AND(P59&gt;=0.10,Q59&gt;=0.08,N59&gt;=0.60),"Eligible","Not Eligible")</f>
        <v/>
      </c>
      <c r="T59">
        <f>IFS(P59&gt;=0.20,"A+",P59&gt;=0.15,"A",P59&gt;=0.10,"B",P59&gt;=0.05,"C",TRUE,"D")</f>
        <v/>
      </c>
    </row>
    <row r="60">
      <c r="A60" t="inlineStr">
        <is>
          <t>P059</t>
        </is>
      </c>
      <c r="B60" s="2" t="n">
        <v>46081</v>
      </c>
      <c r="C60" t="inlineStr">
        <is>
          <t>Self Confidence</t>
        </is>
      </c>
      <c r="D60" t="inlineStr">
        <is>
          <t>Carousel</t>
        </is>
      </c>
      <c r="E60" t="inlineStr">
        <is>
          <t>Text</t>
        </is>
      </c>
      <c r="F60" t="inlineStr">
        <is>
          <t>Morning</t>
        </is>
      </c>
      <c r="G60" t="inlineStr">
        <is>
          <t>Story</t>
        </is>
      </c>
      <c r="H60" t="n">
        <v/>
      </c>
      <c r="I60" t="n">
        <v>9854</v>
      </c>
      <c r="J60" t="n">
        <v>1145</v>
      </c>
      <c r="K60" t="n">
        <v>317</v>
      </c>
      <c r="L60" t="n">
        <v>299</v>
      </c>
      <c r="M60" t="n">
        <v>140</v>
      </c>
      <c r="N60" t="n">
        <v>0.644</v>
      </c>
      <c r="O60" t="inlineStr">
        <is>
          <t>Very relatable and honest.</t>
        </is>
      </c>
      <c r="P60">
        <f>IFERROR((J60+K60+L60+M60)/I60,0)</f>
        <v/>
      </c>
      <c r="Q60">
        <f>IFERROR((2*K60+2*L60+J60)/I60,0)</f>
        <v/>
      </c>
      <c r="R60">
        <f>IFERROR(L60/K60,0)</f>
        <v/>
      </c>
      <c r="S60">
        <f>IF(AND(P60&gt;=0.10,Q60&gt;=0.08,N60&gt;=0.60),"Eligible","Not Eligible")</f>
        <v/>
      </c>
      <c r="T60">
        <f>IFS(P60&gt;=0.20,"A+",P60&gt;=0.15,"A",P60&gt;=0.10,"B",P60&gt;=0.05,"C",TRUE,"D")</f>
        <v/>
      </c>
    </row>
    <row r="61">
      <c r="A61" t="inlineStr">
        <is>
          <t>P060</t>
        </is>
      </c>
      <c r="B61" s="2" t="n">
        <v>46082</v>
      </c>
      <c r="C61" t="inlineStr">
        <is>
          <t>Social Anxiety</t>
        </is>
      </c>
      <c r="D61" t="inlineStr">
        <is>
          <t>Long Video</t>
        </is>
      </c>
      <c r="E61" t="inlineStr">
        <is>
          <t>Text</t>
        </is>
      </c>
      <c r="F61" t="inlineStr">
        <is>
          <t>Afternoon</t>
        </is>
      </c>
      <c r="G61" t="inlineStr">
        <is>
          <t>Story</t>
        </is>
      </c>
      <c r="H61" t="n">
        <v>161</v>
      </c>
      <c r="I61" t="n">
        <v>48088</v>
      </c>
      <c r="J61" t="n">
        <v>6240</v>
      </c>
      <c r="K61" t="n">
        <v>1728</v>
      </c>
      <c r="L61" t="n">
        <v>1632</v>
      </c>
      <c r="M61" t="n">
        <v>768</v>
      </c>
      <c r="N61" t="n">
        <v>0.522</v>
      </c>
      <c r="O61" t="inlineStr">
        <is>
          <t>Good post but I do not relate to this.</t>
        </is>
      </c>
      <c r="P61">
        <f>IFERROR((J61+K61+L61+M61)/I61,0)</f>
        <v/>
      </c>
      <c r="Q61">
        <f>IFERROR((2*K61+2*L61+J61)/I61,0)</f>
        <v/>
      </c>
      <c r="R61">
        <f>IFERROR(L61/K61,0)</f>
        <v/>
      </c>
      <c r="S61">
        <f>IF(AND(P61&gt;=0.10,Q61&gt;=0.08,N61&gt;=0.60),"Eligible","Not Eligible")</f>
        <v/>
      </c>
      <c r="T61">
        <f>IFS(P61&gt;=0.20,"A+",P61&gt;=0.15,"A",P61&gt;=0.10,"B",P61&gt;=0.05,"C",TRUE,"D")</f>
        <v/>
      </c>
    </row>
    <row r="62">
      <c r="A62" t="inlineStr">
        <is>
          <t>P061</t>
        </is>
      </c>
      <c r="B62" s="2" t="n">
        <v>46083</v>
      </c>
      <c r="C62" t="inlineStr">
        <is>
          <t>Self Confidence</t>
        </is>
      </c>
      <c r="D62" t="inlineStr">
        <is>
          <t>Carousel</t>
        </is>
      </c>
      <c r="E62" t="inlineStr">
        <is>
          <t>Text</t>
        </is>
      </c>
      <c r="F62" t="inlineStr">
        <is>
          <t>Evening</t>
        </is>
      </c>
      <c r="G62" t="inlineStr">
        <is>
          <t>Question</t>
        </is>
      </c>
      <c r="H62" t="n">
        <v/>
      </c>
      <c r="I62" t="n">
        <v>42660</v>
      </c>
      <c r="J62" t="n">
        <v>5270</v>
      </c>
      <c r="K62" t="n">
        <v>1459</v>
      </c>
      <c r="L62" t="n">
        <v>1378</v>
      </c>
      <c r="M62" t="n">
        <v>648</v>
      </c>
      <c r="N62" t="n">
        <v>0.541</v>
      </c>
      <c r="O62" t="inlineStr">
        <is>
          <t>This is exactly what I struggle with.</t>
        </is>
      </c>
      <c r="P62">
        <f>IFERROR((J62+K62+L62+M62)/I62,0)</f>
        <v/>
      </c>
      <c r="Q62">
        <f>IFERROR((2*K62+2*L62+J62)/I62,0)</f>
        <v/>
      </c>
      <c r="R62">
        <f>IFERROR(L62/K62,0)</f>
        <v/>
      </c>
      <c r="S62">
        <f>IF(AND(P62&gt;=0.10,Q62&gt;=0.08,N62&gt;=0.60),"Eligible","Not Eligible")</f>
        <v/>
      </c>
      <c r="T62">
        <f>IFS(P62&gt;=0.20,"A+",P62&gt;=0.15,"A",P62&gt;=0.10,"B",P62&gt;=0.05,"C",TRUE,"D")</f>
        <v/>
      </c>
    </row>
    <row r="63">
      <c r="A63" t="inlineStr">
        <is>
          <t>P062</t>
        </is>
      </c>
      <c r="B63" s="2" t="n">
        <v>46084</v>
      </c>
      <c r="C63" t="inlineStr">
        <is>
          <t>Self Confidence</t>
        </is>
      </c>
      <c r="D63" t="inlineStr">
        <is>
          <t>Carousel</t>
        </is>
      </c>
      <c r="E63" t="inlineStr">
        <is>
          <t>Text</t>
        </is>
      </c>
      <c r="F63" t="inlineStr">
        <is>
          <t>Afternoon</t>
        </is>
      </c>
      <c r="G63" t="inlineStr">
        <is>
          <t>Advice</t>
        </is>
      </c>
      <c r="H63" t="n">
        <v/>
      </c>
      <c r="I63" t="n">
        <v>44811</v>
      </c>
      <c r="J63" t="n">
        <v>3181</v>
      </c>
      <c r="K63" t="n">
        <v>881</v>
      </c>
      <c r="L63" t="n">
        <v>832</v>
      </c>
      <c r="M63" t="n">
        <v>391</v>
      </c>
      <c r="N63" t="n">
        <v>0.437</v>
      </c>
      <c r="O63" t="inlineStr">
        <is>
          <t>I needed to hear this today.</t>
        </is>
      </c>
      <c r="P63">
        <f>IFERROR((J63+K63+L63+M63)/I63,0)</f>
        <v/>
      </c>
      <c r="Q63">
        <f>IFERROR((2*K63+2*L63+J63)/I63,0)</f>
        <v/>
      </c>
      <c r="R63">
        <f>IFERROR(L63/K63,0)</f>
        <v/>
      </c>
      <c r="S63">
        <f>IF(AND(P63&gt;=0.10,Q63&gt;=0.08,N63&gt;=0.60),"Eligible","Not Eligible")</f>
        <v/>
      </c>
      <c r="T63">
        <f>IFS(P63&gt;=0.20,"A+",P63&gt;=0.15,"A",P63&gt;=0.10,"B",P63&gt;=0.05,"C",TRUE,"D")</f>
        <v/>
      </c>
    </row>
    <row r="64">
      <c r="A64" t="inlineStr">
        <is>
          <t>P063</t>
        </is>
      </c>
      <c r="B64" s="2" t="n">
        <v>46085</v>
      </c>
      <c r="C64" t="inlineStr">
        <is>
          <t>Social Anxiety</t>
        </is>
      </c>
      <c r="D64" t="inlineStr">
        <is>
          <t>Short Video</t>
        </is>
      </c>
      <c r="E64" t="inlineStr">
        <is>
          <t>Text</t>
        </is>
      </c>
      <c r="F64" t="inlineStr">
        <is>
          <t>Evening</t>
        </is>
      </c>
      <c r="G64" t="inlineStr">
        <is>
          <t>Question</t>
        </is>
      </c>
      <c r="H64" t="n">
        <v>37</v>
      </c>
      <c r="I64" t="n">
        <v>24856</v>
      </c>
      <c r="J64" t="n">
        <v>1593</v>
      </c>
      <c r="K64" t="n">
        <v>441</v>
      </c>
      <c r="L64" t="n">
        <v>416</v>
      </c>
      <c r="M64" t="n">
        <v>196</v>
      </c>
      <c r="N64" t="n">
        <v>0.55</v>
      </c>
      <c r="O64" t="inlineStr">
        <is>
          <t>Useful advice, I can try this.</t>
        </is>
      </c>
      <c r="P64">
        <f>IFERROR((J64+K64+L64+M64)/I64,0)</f>
        <v/>
      </c>
      <c r="Q64">
        <f>IFERROR((2*K64+2*L64+J64)/I64,0)</f>
        <v/>
      </c>
      <c r="R64">
        <f>IFERROR(L64/K64,0)</f>
        <v/>
      </c>
      <c r="S64">
        <f>IF(AND(P64&gt;=0.10,Q64&gt;=0.08,N64&gt;=0.60),"Eligible","Not Eligible")</f>
        <v/>
      </c>
      <c r="T64">
        <f>IFS(P64&gt;=0.20,"A+",P64&gt;=0.15,"A",P64&gt;=0.10,"B",P64&gt;=0.05,"C",TRUE,"D")</f>
        <v/>
      </c>
    </row>
    <row r="65">
      <c r="A65" t="inlineStr">
        <is>
          <t>P064</t>
        </is>
      </c>
      <c r="B65" s="2" t="n">
        <v>46086</v>
      </c>
      <c r="C65" t="inlineStr">
        <is>
          <t>Social Anxiety</t>
        </is>
      </c>
      <c r="D65" t="inlineStr">
        <is>
          <t>Short Video</t>
        </is>
      </c>
      <c r="E65" t="inlineStr">
        <is>
          <t>Visual</t>
        </is>
      </c>
      <c r="F65" t="inlineStr">
        <is>
          <t>Afternoon</t>
        </is>
      </c>
      <c r="G65" t="inlineStr">
        <is>
          <t>Story</t>
        </is>
      </c>
      <c r="H65" t="n">
        <v>43</v>
      </c>
      <c r="I65" t="n">
        <v>26833</v>
      </c>
      <c r="J65" t="n">
        <v>3609</v>
      </c>
      <c r="K65" t="n">
        <v>999</v>
      </c>
      <c r="L65" t="n">
        <v>944</v>
      </c>
      <c r="M65" t="n">
        <v>444</v>
      </c>
      <c r="N65" t="n">
        <v>0.494</v>
      </c>
      <c r="O65" t="inlineStr">
        <is>
          <t>Useful advice, I can try this.</t>
        </is>
      </c>
      <c r="P65">
        <f>IFERROR((J65+K65+L65+M65)/I65,0)</f>
        <v/>
      </c>
      <c r="Q65">
        <f>IFERROR((2*K65+2*L65+J65)/I65,0)</f>
        <v/>
      </c>
      <c r="R65">
        <f>IFERROR(L65/K65,0)</f>
        <v/>
      </c>
      <c r="S65">
        <f>IF(AND(P65&gt;=0.10,Q65&gt;=0.08,N65&gt;=0.60),"Eligible","Not Eligible")</f>
        <v/>
      </c>
      <c r="T65">
        <f>IFS(P65&gt;=0.20,"A+",P65&gt;=0.15,"A",P65&gt;=0.10,"B",P65&gt;=0.05,"C",TRUE,"D")</f>
        <v/>
      </c>
    </row>
    <row r="66">
      <c r="A66" t="inlineStr">
        <is>
          <t>P065</t>
        </is>
      </c>
      <c r="B66" s="2" t="n">
        <v>46087</v>
      </c>
      <c r="C66" t="inlineStr">
        <is>
          <t>Self Confidence</t>
        </is>
      </c>
      <c r="D66" t="inlineStr">
        <is>
          <t>Short Video</t>
        </is>
      </c>
      <c r="E66" t="inlineStr">
        <is>
          <t>Text</t>
        </is>
      </c>
      <c r="F66" t="inlineStr">
        <is>
          <t>Morning</t>
        </is>
      </c>
      <c r="G66" t="inlineStr">
        <is>
          <t>Story</t>
        </is>
      </c>
      <c r="H66" t="n">
        <v>57</v>
      </c>
      <c r="I66" t="n">
        <v>24963</v>
      </c>
      <c r="J66" t="n">
        <v>2972</v>
      </c>
      <c r="K66" t="n">
        <v>823</v>
      </c>
      <c r="L66" t="n">
        <v>777</v>
      </c>
      <c r="M66" t="n">
        <v>365</v>
      </c>
      <c r="N66" t="n">
        <v>0.543</v>
      </c>
      <c r="O66" t="inlineStr">
        <is>
          <t>Very relatable and honest.</t>
        </is>
      </c>
      <c r="P66">
        <f>IFERROR((J66+K66+L66+M66)/I66,0)</f>
        <v/>
      </c>
      <c r="Q66">
        <f>IFERROR((2*K66+2*L66+J66)/I66,0)</f>
        <v/>
      </c>
      <c r="R66">
        <f>IFERROR(L66/K66,0)</f>
        <v/>
      </c>
      <c r="S66">
        <f>IF(AND(P66&gt;=0.10,Q66&gt;=0.08,N66&gt;=0.60),"Eligible","Not Eligible")</f>
        <v/>
      </c>
      <c r="T66">
        <f>IFS(P66&gt;=0.20,"A+",P66&gt;=0.15,"A",P66&gt;=0.10,"B",P66&gt;=0.05,"C",TRUE,"D")</f>
        <v/>
      </c>
    </row>
    <row r="67">
      <c r="A67" t="inlineStr">
        <is>
          <t>P066</t>
        </is>
      </c>
      <c r="B67" s="2" t="n">
        <v>46088</v>
      </c>
      <c r="C67" t="inlineStr">
        <is>
          <t>Dating</t>
        </is>
      </c>
      <c r="D67" t="inlineStr">
        <is>
          <t>Short Video</t>
        </is>
      </c>
      <c r="E67" t="inlineStr">
        <is>
          <t>Visual</t>
        </is>
      </c>
      <c r="F67" t="inlineStr">
        <is>
          <t>Night</t>
        </is>
      </c>
      <c r="G67" t="inlineStr">
        <is>
          <t>Question</t>
        </is>
      </c>
      <c r="H67" t="n">
        <v>25</v>
      </c>
      <c r="I67" t="n">
        <v>41932</v>
      </c>
      <c r="J67" t="n">
        <v>4301</v>
      </c>
      <c r="K67" t="n">
        <v>1191</v>
      </c>
      <c r="L67" t="n">
        <v>1125</v>
      </c>
      <c r="M67" t="n">
        <v>529</v>
      </c>
      <c r="N67" t="n">
        <v>0.8070000000000001</v>
      </c>
      <c r="O67" t="inlineStr">
        <is>
          <t>Interesting perspective and useful advice.</t>
        </is>
      </c>
      <c r="P67">
        <f>IFERROR((J67+K67+L67+M67)/I67,0)</f>
        <v/>
      </c>
      <c r="Q67">
        <f>IFERROR((2*K67+2*L67+J67)/I67,0)</f>
        <v/>
      </c>
      <c r="R67">
        <f>IFERROR(L67/K67,0)</f>
        <v/>
      </c>
      <c r="S67">
        <f>IF(AND(P67&gt;=0.10,Q67&gt;=0.08,N67&gt;=0.60),"Eligible","Not Eligible")</f>
        <v/>
      </c>
      <c r="T67">
        <f>IFS(P67&gt;=0.20,"A+",P67&gt;=0.15,"A",P67&gt;=0.10,"B",P67&gt;=0.05,"C",TRUE,"D")</f>
        <v/>
      </c>
    </row>
    <row r="68">
      <c r="A68" t="inlineStr">
        <is>
          <t>P067</t>
        </is>
      </c>
      <c r="B68" s="2" t="n">
        <v>46089</v>
      </c>
      <c r="C68" t="inlineStr">
        <is>
          <t>Overthinking</t>
        </is>
      </c>
      <c r="D68" t="inlineStr">
        <is>
          <t>Carousel</t>
        </is>
      </c>
      <c r="E68" t="inlineStr">
        <is>
          <t>Visual</t>
        </is>
      </c>
      <c r="F68" t="inlineStr">
        <is>
          <t>Morning</t>
        </is>
      </c>
      <c r="G68" t="inlineStr">
        <is>
          <t>Advice</t>
        </is>
      </c>
      <c r="H68" t="n">
        <v/>
      </c>
      <c r="I68" t="n">
        <v>32169</v>
      </c>
      <c r="J68" t="n">
        <v>3092</v>
      </c>
      <c r="K68" t="n">
        <v>856</v>
      </c>
      <c r="L68" t="n">
        <v>808</v>
      </c>
      <c r="M68" t="n">
        <v>380</v>
      </c>
      <c r="N68" t="n">
        <v>0.497</v>
      </c>
      <c r="O68" t="inlineStr">
        <is>
          <t>This topic is not relatable to me.</t>
        </is>
      </c>
      <c r="P68">
        <f>IFERROR((J68+K68+L68+M68)/I68,0)</f>
        <v/>
      </c>
      <c r="Q68">
        <f>IFERROR((2*K68+2*L68+J68)/I68,0)</f>
        <v/>
      </c>
      <c r="R68">
        <f>IFERROR(L68/K68,0)</f>
        <v/>
      </c>
      <c r="S68">
        <f>IF(AND(P68&gt;=0.10,Q68&gt;=0.08,N68&gt;=0.60),"Eligible","Not Eligible")</f>
        <v/>
      </c>
      <c r="T68">
        <f>IFS(P68&gt;=0.20,"A+",P68&gt;=0.15,"A",P68&gt;=0.10,"B",P68&gt;=0.05,"C",TRUE,"D")</f>
        <v/>
      </c>
    </row>
    <row r="69">
      <c r="A69" t="inlineStr">
        <is>
          <t>P068</t>
        </is>
      </c>
      <c r="B69" s="2" t="n">
        <v>46090</v>
      </c>
      <c r="C69" t="inlineStr">
        <is>
          <t>Social Anxiety</t>
        </is>
      </c>
      <c r="D69" t="inlineStr">
        <is>
          <t>Carousel</t>
        </is>
      </c>
      <c r="E69" t="inlineStr">
        <is>
          <t>Text</t>
        </is>
      </c>
      <c r="F69" t="inlineStr">
        <is>
          <t>Night</t>
        </is>
      </c>
      <c r="G69" t="inlineStr">
        <is>
          <t>Story</t>
        </is>
      </c>
      <c r="H69" t="n">
        <v/>
      </c>
      <c r="I69" t="n">
        <v>12941</v>
      </c>
      <c r="J69" t="n">
        <v>877</v>
      </c>
      <c r="K69" t="n">
        <v>243</v>
      </c>
      <c r="L69" t="n">
        <v>229</v>
      </c>
      <c r="M69" t="n">
        <v>108</v>
      </c>
      <c r="N69" t="n">
        <v>0.95</v>
      </c>
      <c r="O69" t="inlineStr">
        <is>
          <t>Good post but I do not relate to this.</t>
        </is>
      </c>
      <c r="P69">
        <f>IFERROR((J69+K69+L69+M69)/I69,0)</f>
        <v/>
      </c>
      <c r="Q69">
        <f>IFERROR((2*K69+2*L69+J69)/I69,0)</f>
        <v/>
      </c>
      <c r="R69">
        <f>IFERROR(L69/K69,0)</f>
        <v/>
      </c>
      <c r="S69">
        <f>IF(AND(P69&gt;=0.10,Q69&gt;=0.08,N69&gt;=0.60),"Eligible","Not Eligible")</f>
        <v/>
      </c>
      <c r="T69">
        <f>IFS(P69&gt;=0.20,"A+",P69&gt;=0.15,"A",P69&gt;=0.10,"B",P69&gt;=0.05,"C",TRUE,"D")</f>
        <v/>
      </c>
    </row>
    <row r="70">
      <c r="A70" t="inlineStr">
        <is>
          <t>P069</t>
        </is>
      </c>
      <c r="B70" s="2" t="n">
        <v>46091</v>
      </c>
      <c r="C70" t="inlineStr">
        <is>
          <t>Overthinking</t>
        </is>
      </c>
      <c r="D70" t="inlineStr">
        <is>
          <t>Short Video</t>
        </is>
      </c>
      <c r="E70" t="inlineStr">
        <is>
          <t>Visual</t>
        </is>
      </c>
      <c r="F70" t="inlineStr">
        <is>
          <t>Afternoon</t>
        </is>
      </c>
      <c r="G70" t="inlineStr">
        <is>
          <t>Story</t>
        </is>
      </c>
      <c r="H70" t="n">
        <v>23</v>
      </c>
      <c r="I70" t="n">
        <v>19388</v>
      </c>
      <c r="J70" t="n">
        <v>2553</v>
      </c>
      <c r="K70" t="n">
        <v>707</v>
      </c>
      <c r="L70" t="n">
        <v>667</v>
      </c>
      <c r="M70" t="n">
        <v>314</v>
      </c>
      <c r="N70" t="n">
        <v>0.734</v>
      </c>
      <c r="O70" t="inlineStr">
        <is>
          <t>I feel understood by this post.</t>
        </is>
      </c>
      <c r="P70">
        <f>IFERROR((J70+K70+L70+M70)/I70,0)</f>
        <v/>
      </c>
      <c r="Q70">
        <f>IFERROR((2*K70+2*L70+J70)/I70,0)</f>
        <v/>
      </c>
      <c r="R70">
        <f>IFERROR(L70/K70,0)</f>
        <v/>
      </c>
      <c r="S70">
        <f>IF(AND(P70&gt;=0.10,Q70&gt;=0.08,N70&gt;=0.60),"Eligible","Not Eligible")</f>
        <v/>
      </c>
      <c r="T70">
        <f>IFS(P70&gt;=0.20,"A+",P70&gt;=0.15,"A",P70&gt;=0.10,"B",P70&gt;=0.05,"C",TRUE,"D")</f>
        <v/>
      </c>
    </row>
    <row r="71">
      <c r="A71" t="inlineStr">
        <is>
          <t>P070</t>
        </is>
      </c>
      <c r="B71" s="2" t="n">
        <v>46092</v>
      </c>
      <c r="C71" t="inlineStr">
        <is>
          <t>Dating</t>
        </is>
      </c>
      <c r="D71" t="inlineStr">
        <is>
          <t>Long Video</t>
        </is>
      </c>
      <c r="E71" t="inlineStr">
        <is>
          <t>Text</t>
        </is>
      </c>
      <c r="F71" t="inlineStr">
        <is>
          <t>Evening</t>
        </is>
      </c>
      <c r="G71" t="inlineStr">
        <is>
          <t>Story</t>
        </is>
      </c>
      <c r="H71" t="n">
        <v>177</v>
      </c>
      <c r="I71" t="n">
        <v>10569</v>
      </c>
      <c r="J71" t="n">
        <v>735</v>
      </c>
      <c r="K71" t="n">
        <v>203</v>
      </c>
      <c r="L71" t="n">
        <v>192</v>
      </c>
      <c r="M71" t="n">
        <v>90</v>
      </c>
      <c r="N71" t="n">
        <v>0.644</v>
      </c>
      <c r="O71" t="inlineStr">
        <is>
          <t>Not really relatable to me.</t>
        </is>
      </c>
      <c r="P71">
        <f>IFERROR((J71+K71+L71+M71)/I71,0)</f>
        <v/>
      </c>
      <c r="Q71">
        <f>IFERROR((2*K71+2*L71+J71)/I71,0)</f>
        <v/>
      </c>
      <c r="R71">
        <f>IFERROR(L71/K71,0)</f>
        <v/>
      </c>
      <c r="S71">
        <f>IF(AND(P71&gt;=0.10,Q71&gt;=0.08,N71&gt;=0.60),"Eligible","Not Eligible")</f>
        <v/>
      </c>
      <c r="T71">
        <f>IFS(P71&gt;=0.20,"A+",P71&gt;=0.15,"A",P71&gt;=0.10,"B",P71&gt;=0.05,"C",TRUE,"D")</f>
        <v/>
      </c>
    </row>
    <row r="72">
      <c r="A72" t="inlineStr">
        <is>
          <t>P071</t>
        </is>
      </c>
      <c r="B72" s="2" t="n">
        <v>46093</v>
      </c>
      <c r="C72" t="inlineStr">
        <is>
          <t>Dating</t>
        </is>
      </c>
      <c r="D72" t="inlineStr">
        <is>
          <t>Short Video</t>
        </is>
      </c>
      <c r="E72" t="inlineStr">
        <is>
          <t>Visual</t>
        </is>
      </c>
      <c r="F72" t="inlineStr">
        <is>
          <t>Morning</t>
        </is>
      </c>
      <c r="G72" t="inlineStr">
        <is>
          <t>Question</t>
        </is>
      </c>
      <c r="H72" t="n">
        <v>58</v>
      </c>
      <c r="I72" t="n">
        <v>9300</v>
      </c>
      <c r="J72" t="n">
        <v>633</v>
      </c>
      <c r="K72" t="n">
        <v>175</v>
      </c>
      <c r="L72" t="n">
        <v>165</v>
      </c>
      <c r="M72" t="n">
        <v>77</v>
      </c>
      <c r="N72" t="n">
        <v>0.5580000000000001</v>
      </c>
      <c r="O72" t="inlineStr">
        <is>
          <t>I have felt exactly like this before.</t>
        </is>
      </c>
      <c r="P72">
        <f>IFERROR((J72+K72+L72+M72)/I72,0)</f>
        <v/>
      </c>
      <c r="Q72">
        <f>IFERROR((2*K72+2*L72+J72)/I72,0)</f>
        <v/>
      </c>
      <c r="R72">
        <f>IFERROR(L72/K72,0)</f>
        <v/>
      </c>
      <c r="S72">
        <f>IF(AND(P72&gt;=0.10,Q72&gt;=0.08,N72&gt;=0.60),"Eligible","Not Eligible")</f>
        <v/>
      </c>
      <c r="T72">
        <f>IFS(P72&gt;=0.20,"A+",P72&gt;=0.15,"A",P72&gt;=0.10,"B",P72&gt;=0.05,"C",TRUE,"D")</f>
        <v/>
      </c>
    </row>
    <row r="73">
      <c r="A73" t="inlineStr">
        <is>
          <t>P072</t>
        </is>
      </c>
      <c r="B73" s="2" t="n">
        <v>46094</v>
      </c>
      <c r="C73" t="inlineStr">
        <is>
          <t>Dating</t>
        </is>
      </c>
      <c r="D73" t="inlineStr">
        <is>
          <t>Short Video</t>
        </is>
      </c>
      <c r="E73" t="inlineStr">
        <is>
          <t>Text</t>
        </is>
      </c>
      <c r="F73" t="inlineStr">
        <is>
          <t>Night</t>
        </is>
      </c>
      <c r="G73" t="inlineStr">
        <is>
          <t>Story</t>
        </is>
      </c>
      <c r="H73" t="n">
        <v>31</v>
      </c>
      <c r="I73" t="n">
        <v>44037</v>
      </c>
      <c r="J73" t="n">
        <v>3263</v>
      </c>
      <c r="K73" t="n">
        <v>903</v>
      </c>
      <c r="L73" t="n">
        <v>853</v>
      </c>
      <c r="M73" t="n">
        <v>401</v>
      </c>
      <c r="N73" t="n">
        <v>0.761</v>
      </c>
      <c r="O73" t="inlineStr">
        <is>
          <t>This explains what many people experience.</t>
        </is>
      </c>
      <c r="P73">
        <f>IFERROR((J73+K73+L73+M73)/I73,0)</f>
        <v/>
      </c>
      <c r="Q73">
        <f>IFERROR((2*K73+2*L73+J73)/I73,0)</f>
        <v/>
      </c>
      <c r="R73">
        <f>IFERROR(L73/K73,0)</f>
        <v/>
      </c>
      <c r="S73">
        <f>IF(AND(P73&gt;=0.10,Q73&gt;=0.08,N73&gt;=0.60),"Eligible","Not Eligible")</f>
        <v/>
      </c>
      <c r="T73">
        <f>IFS(P73&gt;=0.20,"A+",P73&gt;=0.15,"A",P73&gt;=0.10,"B",P73&gt;=0.05,"C",TRUE,"D")</f>
        <v/>
      </c>
    </row>
    <row r="74">
      <c r="A74" t="inlineStr">
        <is>
          <t>P073</t>
        </is>
      </c>
      <c r="B74" s="2" t="n">
        <v>46095</v>
      </c>
      <c r="C74" t="inlineStr">
        <is>
          <t>Social Anxiety</t>
        </is>
      </c>
      <c r="D74" t="inlineStr">
        <is>
          <t>Short Video</t>
        </is>
      </c>
      <c r="E74" t="inlineStr">
        <is>
          <t>Visual</t>
        </is>
      </c>
      <c r="F74" t="inlineStr">
        <is>
          <t>Morning</t>
        </is>
      </c>
      <c r="G74" t="inlineStr">
        <is>
          <t>Advice</t>
        </is>
      </c>
      <c r="H74" t="n">
        <v>52</v>
      </c>
      <c r="I74" t="n">
        <v>41586</v>
      </c>
      <c r="J74" t="n">
        <v>4244</v>
      </c>
      <c r="K74" t="n">
        <v>1175</v>
      </c>
      <c r="L74" t="n">
        <v>1110</v>
      </c>
      <c r="M74" t="n">
        <v>522</v>
      </c>
      <c r="N74" t="n">
        <v>0.595</v>
      </c>
      <c r="O74" t="inlineStr">
        <is>
          <t>I thought I was the only one experiencing this.</t>
        </is>
      </c>
      <c r="P74">
        <f>IFERROR((J74+K74+L74+M74)/I74,0)</f>
        <v/>
      </c>
      <c r="Q74">
        <f>IFERROR((2*K74+2*L74+J74)/I74,0)</f>
        <v/>
      </c>
      <c r="R74">
        <f>IFERROR(L74/K74,0)</f>
        <v/>
      </c>
      <c r="S74">
        <f>IF(AND(P74&gt;=0.10,Q74&gt;=0.08,N74&gt;=0.60),"Eligible","Not Eligible")</f>
        <v/>
      </c>
      <c r="T74">
        <f>IFS(P74&gt;=0.20,"A+",P74&gt;=0.15,"A",P74&gt;=0.10,"B",P74&gt;=0.05,"C",TRUE,"D")</f>
        <v/>
      </c>
    </row>
    <row r="75">
      <c r="A75" t="inlineStr">
        <is>
          <t>P074</t>
        </is>
      </c>
      <c r="B75" s="2" t="n">
        <v>46096</v>
      </c>
      <c r="C75" t="inlineStr">
        <is>
          <t>Dating</t>
        </is>
      </c>
      <c r="D75" t="inlineStr">
        <is>
          <t>Short Video</t>
        </is>
      </c>
      <c r="E75" t="inlineStr">
        <is>
          <t>Text</t>
        </is>
      </c>
      <c r="F75" t="inlineStr">
        <is>
          <t>Night</t>
        </is>
      </c>
      <c r="G75" t="inlineStr">
        <is>
          <t>Story</t>
        </is>
      </c>
      <c r="H75" t="n">
        <v>21</v>
      </c>
      <c r="I75" t="n">
        <v>17015</v>
      </c>
      <c r="J75" t="n">
        <v>1371</v>
      </c>
      <c r="K75" t="n">
        <v>379</v>
      </c>
      <c r="L75" t="n">
        <v>358</v>
      </c>
      <c r="M75" t="n">
        <v>168</v>
      </c>
      <c r="N75" t="n">
        <v>0.6860000000000001</v>
      </c>
      <c r="O75" t="inlineStr">
        <is>
          <t>This is so relatable to my dating life.</t>
        </is>
      </c>
      <c r="P75">
        <f>IFERROR((J75+K75+L75+M75)/I75,0)</f>
        <v/>
      </c>
      <c r="Q75">
        <f>IFERROR((2*K75+2*L75+J75)/I75,0)</f>
        <v/>
      </c>
      <c r="R75">
        <f>IFERROR(L75/K75,0)</f>
        <v/>
      </c>
      <c r="S75">
        <f>IF(AND(P75&gt;=0.10,Q75&gt;=0.08,N75&gt;=0.60),"Eligible","Not Eligible")</f>
        <v/>
      </c>
      <c r="T75">
        <f>IFS(P75&gt;=0.20,"A+",P75&gt;=0.15,"A",P75&gt;=0.10,"B",P75&gt;=0.05,"C",TRUE,"D")</f>
        <v/>
      </c>
    </row>
    <row r="76">
      <c r="A76" t="inlineStr">
        <is>
          <t>P075</t>
        </is>
      </c>
      <c r="B76" s="2" t="n">
        <v>46097</v>
      </c>
      <c r="C76" t="inlineStr">
        <is>
          <t>Social Anxiety</t>
        </is>
      </c>
      <c r="D76" t="inlineStr">
        <is>
          <t>Carousel</t>
        </is>
      </c>
      <c r="E76" t="inlineStr">
        <is>
          <t>Text</t>
        </is>
      </c>
      <c r="F76" t="inlineStr">
        <is>
          <t>Morning</t>
        </is>
      </c>
      <c r="G76" t="inlineStr">
        <is>
          <t>Story</t>
        </is>
      </c>
      <c r="H76" t="n">
        <v/>
      </c>
      <c r="I76" t="n">
        <v>11254</v>
      </c>
      <c r="J76" t="n">
        <v>643</v>
      </c>
      <c r="K76" t="n">
        <v>178</v>
      </c>
      <c r="L76" t="n">
        <v>168</v>
      </c>
      <c r="M76" t="n">
        <v>79</v>
      </c>
      <c r="N76" t="n">
        <v>0.95</v>
      </c>
      <c r="O76" t="inlineStr">
        <is>
          <t>I thought I was the only one experiencing this.</t>
        </is>
      </c>
      <c r="P76">
        <f>IFERROR((J76+K76+L76+M76)/I76,0)</f>
        <v/>
      </c>
      <c r="Q76">
        <f>IFERROR((2*K76+2*L76+J76)/I76,0)</f>
        <v/>
      </c>
      <c r="R76">
        <f>IFERROR(L76/K76,0)</f>
        <v/>
      </c>
      <c r="S76">
        <f>IF(AND(P76&gt;=0.10,Q76&gt;=0.08,N76&gt;=0.60),"Eligible","Not Eligible")</f>
        <v/>
      </c>
      <c r="T76">
        <f>IFS(P76&gt;=0.20,"A+",P76&gt;=0.15,"A",P76&gt;=0.10,"B",P76&gt;=0.05,"C",TRUE,"D")</f>
        <v/>
      </c>
    </row>
    <row r="77">
      <c r="A77" t="inlineStr">
        <is>
          <t>P076</t>
        </is>
      </c>
      <c r="B77" s="2" t="n">
        <v>46098</v>
      </c>
      <c r="C77" t="inlineStr">
        <is>
          <t>Dating</t>
        </is>
      </c>
      <c r="D77" t="inlineStr">
        <is>
          <t>Short Video</t>
        </is>
      </c>
      <c r="E77" t="inlineStr">
        <is>
          <t>Text</t>
        </is>
      </c>
      <c r="F77" t="inlineStr">
        <is>
          <t>Night</t>
        </is>
      </c>
      <c r="G77" t="inlineStr">
        <is>
          <t>Advice</t>
        </is>
      </c>
      <c r="H77" t="n">
        <v>27</v>
      </c>
      <c r="I77" t="n">
        <v>22144</v>
      </c>
      <c r="J77" t="n">
        <v>1978</v>
      </c>
      <c r="K77" t="n">
        <v>547</v>
      </c>
      <c r="L77" t="n">
        <v>517</v>
      </c>
      <c r="M77" t="n">
        <v>243</v>
      </c>
      <c r="N77" t="n">
        <v>0.658</v>
      </c>
      <c r="O77" t="inlineStr">
        <is>
          <t>This is so relatable to my dating life.</t>
        </is>
      </c>
      <c r="P77">
        <f>IFERROR((J77+K77+L77+M77)/I77,0)</f>
        <v/>
      </c>
      <c r="Q77">
        <f>IFERROR((2*K77+2*L77+J77)/I77,0)</f>
        <v/>
      </c>
      <c r="R77">
        <f>IFERROR(L77/K77,0)</f>
        <v/>
      </c>
      <c r="S77">
        <f>IF(AND(P77&gt;=0.10,Q77&gt;=0.08,N77&gt;=0.60),"Eligible","Not Eligible")</f>
        <v/>
      </c>
      <c r="T77">
        <f>IFS(P77&gt;=0.20,"A+",P77&gt;=0.15,"A",P77&gt;=0.10,"B",P77&gt;=0.05,"C",TRUE,"D")</f>
        <v/>
      </c>
    </row>
    <row r="78">
      <c r="A78" t="inlineStr">
        <is>
          <t>P077</t>
        </is>
      </c>
      <c r="B78" s="2" t="n">
        <v>46099</v>
      </c>
      <c r="C78" t="inlineStr">
        <is>
          <t>Overthinking</t>
        </is>
      </c>
      <c r="D78" t="inlineStr">
        <is>
          <t>Long Video</t>
        </is>
      </c>
      <c r="E78" t="inlineStr">
        <is>
          <t>Text</t>
        </is>
      </c>
      <c r="F78" t="inlineStr">
        <is>
          <t>Night</t>
        </is>
      </c>
      <c r="G78" t="inlineStr">
        <is>
          <t>Story</t>
        </is>
      </c>
      <c r="H78" t="n">
        <v>106</v>
      </c>
      <c r="I78" t="n">
        <v>29214</v>
      </c>
      <c r="J78" t="n">
        <v>2135</v>
      </c>
      <c r="K78" t="n">
        <v>591</v>
      </c>
      <c r="L78" t="n">
        <v>558</v>
      </c>
      <c r="M78" t="n">
        <v>262</v>
      </c>
      <c r="N78" t="n">
        <v>0.769</v>
      </c>
      <c r="O78" t="inlineStr">
        <is>
          <t>My brain does this all the time.</t>
        </is>
      </c>
      <c r="P78">
        <f>IFERROR((J78+K78+L78+M78)/I78,0)</f>
        <v/>
      </c>
      <c r="Q78">
        <f>IFERROR((2*K78+2*L78+J78)/I78,0)</f>
        <v/>
      </c>
      <c r="R78">
        <f>IFERROR(L78/K78,0)</f>
        <v/>
      </c>
      <c r="S78">
        <f>IF(AND(P78&gt;=0.10,Q78&gt;=0.08,N78&gt;=0.60),"Eligible","Not Eligible")</f>
        <v/>
      </c>
      <c r="T78">
        <f>IFS(P78&gt;=0.20,"A+",P78&gt;=0.15,"A",P78&gt;=0.10,"B",P78&gt;=0.05,"C",TRUE,"D")</f>
        <v/>
      </c>
    </row>
    <row r="79">
      <c r="A79" t="inlineStr">
        <is>
          <t>P078</t>
        </is>
      </c>
      <c r="B79" s="2" t="n">
        <v>46100</v>
      </c>
      <c r="C79" t="inlineStr">
        <is>
          <t>Overthinking</t>
        </is>
      </c>
      <c r="D79" t="inlineStr">
        <is>
          <t>Long Video</t>
        </is>
      </c>
      <c r="E79" t="inlineStr">
        <is>
          <t>Text</t>
        </is>
      </c>
      <c r="F79" t="inlineStr">
        <is>
          <t>Afternoon</t>
        </is>
      </c>
      <c r="G79" t="inlineStr">
        <is>
          <t>Question</t>
        </is>
      </c>
      <c r="H79" t="n">
        <v>95</v>
      </c>
      <c r="I79" t="n">
        <v>45118</v>
      </c>
      <c r="J79" t="n">
        <v>4343</v>
      </c>
      <c r="K79" t="n">
        <v>1202</v>
      </c>
      <c r="L79" t="n">
        <v>1135</v>
      </c>
      <c r="M79" t="n">
        <v>534</v>
      </c>
      <c r="N79" t="n">
        <v>0.529</v>
      </c>
      <c r="O79" t="inlineStr">
        <is>
          <t>This is incredibly relatable.</t>
        </is>
      </c>
      <c r="P79">
        <f>IFERROR((J79+K79+L79+M79)/I79,0)</f>
        <v/>
      </c>
      <c r="Q79">
        <f>IFERROR((2*K79+2*L79+J79)/I79,0)</f>
        <v/>
      </c>
      <c r="R79">
        <f>IFERROR(L79/K79,0)</f>
        <v/>
      </c>
      <c r="S79">
        <f>IF(AND(P79&gt;=0.10,Q79&gt;=0.08,N79&gt;=0.60),"Eligible","Not Eligible")</f>
        <v/>
      </c>
      <c r="T79">
        <f>IFS(P79&gt;=0.20,"A+",P79&gt;=0.15,"A",P79&gt;=0.10,"B",P79&gt;=0.05,"C",TRUE,"D")</f>
        <v/>
      </c>
    </row>
    <row r="80">
      <c r="A80" t="inlineStr">
        <is>
          <t>P079</t>
        </is>
      </c>
      <c r="B80" s="2" t="n">
        <v>46101</v>
      </c>
      <c r="C80" t="inlineStr">
        <is>
          <t>Self Confidence</t>
        </is>
      </c>
      <c r="D80" t="inlineStr">
        <is>
          <t>Short Video</t>
        </is>
      </c>
      <c r="E80" t="inlineStr">
        <is>
          <t>Visual</t>
        </is>
      </c>
      <c r="F80" t="inlineStr">
        <is>
          <t>Night</t>
        </is>
      </c>
      <c r="G80" t="inlineStr">
        <is>
          <t>Question</t>
        </is>
      </c>
      <c r="H80" t="n">
        <v>23</v>
      </c>
      <c r="I80" t="n">
        <v>20183</v>
      </c>
      <c r="J80" t="n">
        <v>908</v>
      </c>
      <c r="K80" t="n">
        <v>251</v>
      </c>
      <c r="L80" t="n">
        <v>237</v>
      </c>
      <c r="M80" t="n">
        <v>111</v>
      </c>
      <c r="N80" t="n">
        <v>0.665</v>
      </c>
      <c r="O80" t="inlineStr">
        <is>
          <t>Very relatable and honest.</t>
        </is>
      </c>
      <c r="P80">
        <f>IFERROR((J80+K80+L80+M80)/I80,0)</f>
        <v/>
      </c>
      <c r="Q80">
        <f>IFERROR((2*K80+2*L80+J80)/I80,0)</f>
        <v/>
      </c>
      <c r="R80">
        <f>IFERROR(L80/K80,0)</f>
        <v/>
      </c>
      <c r="S80">
        <f>IF(AND(P80&gt;=0.10,Q80&gt;=0.08,N80&gt;=0.60),"Eligible","Not Eligible")</f>
        <v/>
      </c>
      <c r="T80">
        <f>IFS(P80&gt;=0.20,"A+",P80&gt;=0.15,"A",P80&gt;=0.10,"B",P80&gt;=0.05,"C",TRUE,"D")</f>
        <v/>
      </c>
    </row>
    <row r="81">
      <c r="A81" t="inlineStr">
        <is>
          <t>P080</t>
        </is>
      </c>
      <c r="B81" s="2" t="n">
        <v>46102</v>
      </c>
      <c r="C81" t="inlineStr">
        <is>
          <t>Overthinking</t>
        </is>
      </c>
      <c r="D81" t="inlineStr">
        <is>
          <t>Carousel</t>
        </is>
      </c>
      <c r="E81" t="inlineStr">
        <is>
          <t>Visual</t>
        </is>
      </c>
      <c r="F81" t="inlineStr">
        <is>
          <t>Afternoon</t>
        </is>
      </c>
      <c r="G81" t="inlineStr">
        <is>
          <t>Question</t>
        </is>
      </c>
      <c r="H81" t="n">
        <v/>
      </c>
      <c r="I81" t="n">
        <v>11238</v>
      </c>
      <c r="J81" t="n">
        <v>1108</v>
      </c>
      <c r="K81" t="n">
        <v>306</v>
      </c>
      <c r="L81" t="n">
        <v>289</v>
      </c>
      <c r="M81" t="n">
        <v>136</v>
      </c>
      <c r="N81" t="n">
        <v>0.85</v>
      </c>
      <c r="O81" t="inlineStr">
        <is>
          <t>This topic is not relatable to me.</t>
        </is>
      </c>
      <c r="P81">
        <f>IFERROR((J81+K81+L81+M81)/I81,0)</f>
        <v/>
      </c>
      <c r="Q81">
        <f>IFERROR((2*K81+2*L81+J81)/I81,0)</f>
        <v/>
      </c>
      <c r="R81">
        <f>IFERROR(L81/K81,0)</f>
        <v/>
      </c>
      <c r="S81">
        <f>IF(AND(P81&gt;=0.10,Q81&gt;=0.08,N81&gt;=0.60),"Eligible","Not Eligible")</f>
        <v/>
      </c>
      <c r="T81">
        <f>IFS(P81&gt;=0.20,"A+",P81&gt;=0.15,"A",P81&gt;=0.10,"B",P81&gt;=0.05,"C",TRUE,"D")</f>
        <v/>
      </c>
    </row>
    <row r="82">
      <c r="A82" t="inlineStr">
        <is>
          <t>P081</t>
        </is>
      </c>
      <c r="B82" s="2" t="n">
        <v>46103</v>
      </c>
      <c r="C82" t="inlineStr">
        <is>
          <t>Self Confidence</t>
        </is>
      </c>
      <c r="D82" t="inlineStr">
        <is>
          <t>Carousel</t>
        </is>
      </c>
      <c r="E82" t="inlineStr">
        <is>
          <t>Visual</t>
        </is>
      </c>
      <c r="F82" t="inlineStr">
        <is>
          <t>Night</t>
        </is>
      </c>
      <c r="G82" t="inlineStr">
        <is>
          <t>Advice</t>
        </is>
      </c>
      <c r="H82" t="n">
        <v/>
      </c>
      <c r="I82" t="n">
        <v>11090</v>
      </c>
      <c r="J82" t="n">
        <v>1094</v>
      </c>
      <c r="K82" t="n">
        <v>303</v>
      </c>
      <c r="L82" t="n">
        <v>286</v>
      </c>
      <c r="M82" t="n">
        <v>134</v>
      </c>
      <c r="N82" t="n">
        <v>0.538</v>
      </c>
      <c r="O82" t="inlineStr">
        <is>
          <t>I don't personally relate to this.</t>
        </is>
      </c>
      <c r="P82">
        <f>IFERROR((J82+K82+L82+M82)/I82,0)</f>
        <v/>
      </c>
      <c r="Q82">
        <f>IFERROR((2*K82+2*L82+J82)/I82,0)</f>
        <v/>
      </c>
      <c r="R82">
        <f>IFERROR(L82/K82,0)</f>
        <v/>
      </c>
      <c r="S82">
        <f>IF(AND(P82&gt;=0.10,Q82&gt;=0.08,N82&gt;=0.60),"Eligible","Not Eligible")</f>
        <v/>
      </c>
      <c r="T82">
        <f>IFS(P82&gt;=0.20,"A+",P82&gt;=0.15,"A",P82&gt;=0.10,"B",P82&gt;=0.05,"C",TRUE,"D")</f>
        <v/>
      </c>
    </row>
    <row r="83">
      <c r="A83" t="inlineStr">
        <is>
          <t>P082</t>
        </is>
      </c>
      <c r="B83" s="2" t="n">
        <v>46104</v>
      </c>
      <c r="C83" t="inlineStr">
        <is>
          <t>Overthinking</t>
        </is>
      </c>
      <c r="D83" t="inlineStr">
        <is>
          <t>Short Video</t>
        </is>
      </c>
      <c r="E83" t="inlineStr">
        <is>
          <t>Text</t>
        </is>
      </c>
      <c r="F83" t="inlineStr">
        <is>
          <t>Evening</t>
        </is>
      </c>
      <c r="G83" t="inlineStr">
        <is>
          <t>Story</t>
        </is>
      </c>
      <c r="H83" t="n">
        <v>19</v>
      </c>
      <c r="I83" t="n">
        <v>16637</v>
      </c>
      <c r="J83" t="n">
        <v>1087</v>
      </c>
      <c r="K83" t="n">
        <v>301</v>
      </c>
      <c r="L83" t="n">
        <v>284</v>
      </c>
      <c r="M83" t="n">
        <v>133</v>
      </c>
      <c r="N83" t="n">
        <v>0.906</v>
      </c>
      <c r="O83" t="inlineStr">
        <is>
          <t>My brain does this all the time.</t>
        </is>
      </c>
      <c r="P83">
        <f>IFERROR((J83+K83+L83+M83)/I83,0)</f>
        <v/>
      </c>
      <c r="Q83">
        <f>IFERROR((2*K83+2*L83+J83)/I83,0)</f>
        <v/>
      </c>
      <c r="R83">
        <f>IFERROR(L83/K83,0)</f>
        <v/>
      </c>
      <c r="S83">
        <f>IF(AND(P83&gt;=0.10,Q83&gt;=0.08,N83&gt;=0.60),"Eligible","Not Eligible")</f>
        <v/>
      </c>
      <c r="T83">
        <f>IFS(P83&gt;=0.20,"A+",P83&gt;=0.15,"A",P83&gt;=0.10,"B",P83&gt;=0.05,"C",TRUE,"D")</f>
        <v/>
      </c>
    </row>
    <row r="84">
      <c r="A84" t="inlineStr">
        <is>
          <t>P083</t>
        </is>
      </c>
      <c r="B84" s="2" t="n">
        <v>46105</v>
      </c>
      <c r="C84" t="inlineStr">
        <is>
          <t>Social Anxiety</t>
        </is>
      </c>
      <c r="D84" t="inlineStr">
        <is>
          <t>Short Video</t>
        </is>
      </c>
      <c r="E84" t="inlineStr">
        <is>
          <t>Visual</t>
        </is>
      </c>
      <c r="F84" t="inlineStr">
        <is>
          <t>Evening</t>
        </is>
      </c>
      <c r="G84" t="inlineStr">
        <is>
          <t>Question</t>
        </is>
      </c>
      <c r="H84" t="n">
        <v>43</v>
      </c>
      <c r="I84" t="n">
        <v>27415</v>
      </c>
      <c r="J84" t="n">
        <v>3195</v>
      </c>
      <c r="K84" t="n">
        <v>884</v>
      </c>
      <c r="L84" t="n">
        <v>835</v>
      </c>
      <c r="M84" t="n">
        <v>393</v>
      </c>
      <c r="N84" t="n">
        <v>0.762</v>
      </c>
      <c r="O84" t="inlineStr">
        <is>
          <t>This is exactly how I feel in social situations.</t>
        </is>
      </c>
      <c r="P84">
        <f>IFERROR((J84+K84+L84+M84)/I84,0)</f>
        <v/>
      </c>
      <c r="Q84">
        <f>IFERROR((2*K84+2*L84+J84)/I84,0)</f>
        <v/>
      </c>
      <c r="R84">
        <f>IFERROR(L84/K84,0)</f>
        <v/>
      </c>
      <c r="S84">
        <f>IF(AND(P84&gt;=0.10,Q84&gt;=0.08,N84&gt;=0.60),"Eligible","Not Eligible")</f>
        <v/>
      </c>
      <c r="T84">
        <f>IFS(P84&gt;=0.20,"A+",P84&gt;=0.15,"A",P84&gt;=0.10,"B",P84&gt;=0.05,"C",TRUE,"D")</f>
        <v/>
      </c>
    </row>
    <row r="85">
      <c r="A85" t="inlineStr">
        <is>
          <t>P084</t>
        </is>
      </c>
      <c r="B85" s="2" t="n">
        <v>46106</v>
      </c>
      <c r="C85" t="inlineStr">
        <is>
          <t>Overthinking</t>
        </is>
      </c>
      <c r="D85" t="inlineStr">
        <is>
          <t>Short Video</t>
        </is>
      </c>
      <c r="E85" t="inlineStr">
        <is>
          <t>Text</t>
        </is>
      </c>
      <c r="F85" t="inlineStr">
        <is>
          <t>Evening</t>
        </is>
      </c>
      <c r="G85" t="inlineStr">
        <is>
          <t>Advice</t>
        </is>
      </c>
      <c r="H85" t="n">
        <v>51</v>
      </c>
      <c r="I85" t="n">
        <v>29071</v>
      </c>
      <c r="J85" t="n">
        <v>2217</v>
      </c>
      <c r="K85" t="n">
        <v>613</v>
      </c>
      <c r="L85" t="n">
        <v>579</v>
      </c>
      <c r="M85" t="n">
        <v>272</v>
      </c>
      <c r="N85" t="n">
        <v>0.597</v>
      </c>
      <c r="O85" t="inlineStr">
        <is>
          <t>I feel understood by this post.</t>
        </is>
      </c>
      <c r="P85">
        <f>IFERROR((J85+K85+L85+M85)/I85,0)</f>
        <v/>
      </c>
      <c r="Q85">
        <f>IFERROR((2*K85+2*L85+J85)/I85,0)</f>
        <v/>
      </c>
      <c r="R85">
        <f>IFERROR(L85/K85,0)</f>
        <v/>
      </c>
      <c r="S85">
        <f>IF(AND(P85&gt;=0.10,Q85&gt;=0.08,N85&gt;=0.60),"Eligible","Not Eligible")</f>
        <v/>
      </c>
      <c r="T85">
        <f>IFS(P85&gt;=0.20,"A+",P85&gt;=0.15,"A",P85&gt;=0.10,"B",P85&gt;=0.05,"C",TRUE,"D")</f>
        <v/>
      </c>
    </row>
    <row r="86">
      <c r="A86" t="inlineStr">
        <is>
          <t>P085</t>
        </is>
      </c>
      <c r="B86" s="2" t="n">
        <v>46107</v>
      </c>
      <c r="C86" t="inlineStr">
        <is>
          <t>Self Confidence</t>
        </is>
      </c>
      <c r="D86" t="inlineStr">
        <is>
          <t>Short Video</t>
        </is>
      </c>
      <c r="E86" t="inlineStr">
        <is>
          <t>Text</t>
        </is>
      </c>
      <c r="F86" t="inlineStr">
        <is>
          <t>Night</t>
        </is>
      </c>
      <c r="G86" t="inlineStr">
        <is>
          <t>Story</t>
        </is>
      </c>
      <c r="H86" t="n">
        <v>52</v>
      </c>
      <c r="I86" t="n">
        <v>47679</v>
      </c>
      <c r="J86" t="n">
        <v>2189</v>
      </c>
      <c r="K86" t="n">
        <v>606</v>
      </c>
      <c r="L86" t="n">
        <v>572</v>
      </c>
      <c r="M86" t="n">
        <v>269</v>
      </c>
      <c r="N86" t="n">
        <v>0.752</v>
      </c>
      <c r="O86" t="inlineStr">
        <is>
          <t>Helpful advice, thank you.</t>
        </is>
      </c>
      <c r="P86">
        <f>IFERROR((J86+K86+L86+M86)/I86,0)</f>
        <v/>
      </c>
      <c r="Q86">
        <f>IFERROR((2*K86+2*L86+J86)/I86,0)</f>
        <v/>
      </c>
      <c r="R86">
        <f>IFERROR(L86/K86,0)</f>
        <v/>
      </c>
      <c r="S86">
        <f>IF(AND(P86&gt;=0.10,Q86&gt;=0.08,N86&gt;=0.60),"Eligible","Not Eligible")</f>
        <v/>
      </c>
      <c r="T86">
        <f>IFS(P86&gt;=0.20,"A+",P86&gt;=0.15,"A",P86&gt;=0.10,"B",P86&gt;=0.05,"C",TRUE,"D")</f>
        <v/>
      </c>
    </row>
    <row r="87">
      <c r="A87" t="inlineStr">
        <is>
          <t>P086</t>
        </is>
      </c>
      <c r="B87" s="2" t="n">
        <v>46108</v>
      </c>
      <c r="C87" t="inlineStr">
        <is>
          <t>Self Confidence</t>
        </is>
      </c>
      <c r="D87" t="inlineStr">
        <is>
          <t>Short Video</t>
        </is>
      </c>
      <c r="E87" t="inlineStr">
        <is>
          <t>Visual</t>
        </is>
      </c>
      <c r="F87" t="inlineStr">
        <is>
          <t>Afternoon</t>
        </is>
      </c>
      <c r="G87" t="inlineStr">
        <is>
          <t>Advice</t>
        </is>
      </c>
      <c r="H87" t="n">
        <v>33</v>
      </c>
      <c r="I87" t="n">
        <v>46240</v>
      </c>
      <c r="J87" t="n">
        <v>6020</v>
      </c>
      <c r="K87" t="n">
        <v>1667</v>
      </c>
      <c r="L87" t="n">
        <v>1574</v>
      </c>
      <c r="M87" t="n">
        <v>741</v>
      </c>
      <c r="N87" t="n">
        <v>0.796</v>
      </c>
      <c r="O87" t="inlineStr">
        <is>
          <t>This is exactly what I struggle with.</t>
        </is>
      </c>
      <c r="P87">
        <f>IFERROR((J87+K87+L87+M87)/I87,0)</f>
        <v/>
      </c>
      <c r="Q87">
        <f>IFERROR((2*K87+2*L87+J87)/I87,0)</f>
        <v/>
      </c>
      <c r="R87">
        <f>IFERROR(L87/K87,0)</f>
        <v/>
      </c>
      <c r="S87">
        <f>IF(AND(P87&gt;=0.10,Q87&gt;=0.08,N87&gt;=0.60),"Eligible","Not Eligible")</f>
        <v/>
      </c>
      <c r="T87">
        <f>IFS(P87&gt;=0.20,"A+",P87&gt;=0.15,"A",P87&gt;=0.10,"B",P87&gt;=0.05,"C",TRUE,"D")</f>
        <v/>
      </c>
    </row>
    <row r="88">
      <c r="A88" t="inlineStr">
        <is>
          <t>P087</t>
        </is>
      </c>
      <c r="B88" s="2" t="n">
        <v>46109</v>
      </c>
      <c r="C88" t="inlineStr">
        <is>
          <t>Dating</t>
        </is>
      </c>
      <c r="D88" t="inlineStr">
        <is>
          <t>Long Video</t>
        </is>
      </c>
      <c r="E88" t="inlineStr">
        <is>
          <t>Visual</t>
        </is>
      </c>
      <c r="F88" t="inlineStr">
        <is>
          <t>Afternoon</t>
        </is>
      </c>
      <c r="G88" t="inlineStr">
        <is>
          <t>Question</t>
        </is>
      </c>
      <c r="H88" t="n">
        <v>116</v>
      </c>
      <c r="I88" t="n">
        <v>23271</v>
      </c>
      <c r="J88" t="n">
        <v>2359</v>
      </c>
      <c r="K88" t="n">
        <v>653</v>
      </c>
      <c r="L88" t="n">
        <v>617</v>
      </c>
      <c r="M88" t="n">
        <v>290</v>
      </c>
      <c r="N88" t="n">
        <v>0.701</v>
      </c>
      <c r="O88" t="inlineStr">
        <is>
          <t>This is so relatable to my dating life.</t>
        </is>
      </c>
      <c r="P88">
        <f>IFERROR((J88+K88+L88+M88)/I88,0)</f>
        <v/>
      </c>
      <c r="Q88">
        <f>IFERROR((2*K88+2*L88+J88)/I88,0)</f>
        <v/>
      </c>
      <c r="R88">
        <f>IFERROR(L88/K88,0)</f>
        <v/>
      </c>
      <c r="S88">
        <f>IF(AND(P88&gt;=0.10,Q88&gt;=0.08,N88&gt;=0.60),"Eligible","Not Eligible")</f>
        <v/>
      </c>
      <c r="T88">
        <f>IFS(P88&gt;=0.20,"A+",P88&gt;=0.15,"A",P88&gt;=0.10,"B",P88&gt;=0.05,"C",TRUE,"D")</f>
        <v/>
      </c>
    </row>
    <row r="89">
      <c r="A89" t="inlineStr">
        <is>
          <t>P088</t>
        </is>
      </c>
      <c r="B89" s="2" t="n">
        <v>46110</v>
      </c>
      <c r="C89" t="inlineStr">
        <is>
          <t>Social Anxiety</t>
        </is>
      </c>
      <c r="D89" t="inlineStr">
        <is>
          <t>Long Video</t>
        </is>
      </c>
      <c r="E89" t="inlineStr">
        <is>
          <t>Text</t>
        </is>
      </c>
      <c r="F89" t="inlineStr">
        <is>
          <t>Night</t>
        </is>
      </c>
      <c r="G89" t="inlineStr">
        <is>
          <t>Question</t>
        </is>
      </c>
      <c r="H89" t="n">
        <v>90</v>
      </c>
      <c r="I89" t="n">
        <v>41034</v>
      </c>
      <c r="J89" t="n">
        <v>5310</v>
      </c>
      <c r="K89" t="n">
        <v>1470</v>
      </c>
      <c r="L89" t="n">
        <v>1388</v>
      </c>
      <c r="M89" t="n">
        <v>653</v>
      </c>
      <c r="N89" t="n">
        <v>0.416</v>
      </c>
      <c r="O89" t="inlineStr">
        <is>
          <t>Good post but I do not relate to this.</t>
        </is>
      </c>
      <c r="P89">
        <f>IFERROR((J89+K89+L89+M89)/I89,0)</f>
        <v/>
      </c>
      <c r="Q89">
        <f>IFERROR((2*K89+2*L89+J89)/I89,0)</f>
        <v/>
      </c>
      <c r="R89">
        <f>IFERROR(L89/K89,0)</f>
        <v/>
      </c>
      <c r="S89">
        <f>IF(AND(P89&gt;=0.10,Q89&gt;=0.08,N89&gt;=0.60),"Eligible","Not Eligible")</f>
        <v/>
      </c>
      <c r="T89">
        <f>IFS(P89&gt;=0.20,"A+",P89&gt;=0.15,"A",P89&gt;=0.10,"B",P89&gt;=0.05,"C",TRUE,"D")</f>
        <v/>
      </c>
    </row>
    <row r="90">
      <c r="A90" t="inlineStr">
        <is>
          <t>P089</t>
        </is>
      </c>
      <c r="B90" s="2" t="n">
        <v>46111</v>
      </c>
      <c r="C90" t="inlineStr">
        <is>
          <t>Overthinking</t>
        </is>
      </c>
      <c r="D90" t="inlineStr">
        <is>
          <t>Short Video</t>
        </is>
      </c>
      <c r="E90" t="inlineStr">
        <is>
          <t>Visual</t>
        </is>
      </c>
      <c r="F90" t="inlineStr">
        <is>
          <t>Evening</t>
        </is>
      </c>
      <c r="G90" t="inlineStr">
        <is>
          <t>Question</t>
        </is>
      </c>
      <c r="H90" t="n">
        <v>15</v>
      </c>
      <c r="I90" t="n">
        <v>38434</v>
      </c>
      <c r="J90" t="n">
        <v>3392</v>
      </c>
      <c r="K90" t="n">
        <v>939</v>
      </c>
      <c r="L90" t="n">
        <v>887</v>
      </c>
      <c r="M90" t="n">
        <v>417</v>
      </c>
      <c r="N90" t="n">
        <v>0.575</v>
      </c>
      <c r="O90" t="inlineStr">
        <is>
          <t>I feel understood by this post.</t>
        </is>
      </c>
      <c r="P90">
        <f>IFERROR((J90+K90+L90+M90)/I90,0)</f>
        <v/>
      </c>
      <c r="Q90">
        <f>IFERROR((2*K90+2*L90+J90)/I90,0)</f>
        <v/>
      </c>
      <c r="R90">
        <f>IFERROR(L90/K90,0)</f>
        <v/>
      </c>
      <c r="S90">
        <f>IF(AND(P90&gt;=0.10,Q90&gt;=0.08,N90&gt;=0.60),"Eligible","Not Eligible")</f>
        <v/>
      </c>
      <c r="T90">
        <f>IFS(P90&gt;=0.20,"A+",P90&gt;=0.15,"A",P90&gt;=0.10,"B",P90&gt;=0.05,"C",TRUE,"D")</f>
        <v/>
      </c>
    </row>
    <row r="91">
      <c r="A91" t="inlineStr">
        <is>
          <t>P090</t>
        </is>
      </c>
      <c r="B91" s="2" t="n">
        <v>46112</v>
      </c>
      <c r="C91" t="inlineStr">
        <is>
          <t>Dating</t>
        </is>
      </c>
      <c r="D91" t="inlineStr">
        <is>
          <t>Short Video</t>
        </is>
      </c>
      <c r="E91" t="inlineStr">
        <is>
          <t>Text</t>
        </is>
      </c>
      <c r="F91" t="inlineStr">
        <is>
          <t>Evening</t>
        </is>
      </c>
      <c r="G91" t="inlineStr">
        <is>
          <t>Advice</t>
        </is>
      </c>
      <c r="H91" t="n">
        <v>36</v>
      </c>
      <c r="I91" t="n">
        <v>9188</v>
      </c>
      <c r="J91" t="n">
        <v>1045</v>
      </c>
      <c r="K91" t="n">
        <v>289</v>
      </c>
      <c r="L91" t="n">
        <v>273</v>
      </c>
      <c r="M91" t="n">
        <v>128</v>
      </c>
      <c r="N91" t="n">
        <v>0.638</v>
      </c>
      <c r="O91" t="inlineStr">
        <is>
          <t>I have felt exactly like this before.</t>
        </is>
      </c>
      <c r="P91">
        <f>IFERROR((J91+K91+L91+M91)/I91,0)</f>
        <v/>
      </c>
      <c r="Q91">
        <f>IFERROR((2*K91+2*L91+J91)/I91,0)</f>
        <v/>
      </c>
      <c r="R91">
        <f>IFERROR(L91/K91,0)</f>
        <v/>
      </c>
      <c r="S91">
        <f>IF(AND(P91&gt;=0.10,Q91&gt;=0.08,N91&gt;=0.60),"Eligible","Not Eligible")</f>
        <v/>
      </c>
      <c r="T91">
        <f>IFS(P91&gt;=0.20,"A+",P91&gt;=0.15,"A",P91&gt;=0.10,"B",P91&gt;=0.05,"C",TRUE,"D")</f>
        <v/>
      </c>
    </row>
    <row r="92">
      <c r="A92" t="inlineStr">
        <is>
          <t>P091</t>
        </is>
      </c>
      <c r="B92" s="2" t="n">
        <v>46113</v>
      </c>
      <c r="C92" t="inlineStr">
        <is>
          <t>Overthinking</t>
        </is>
      </c>
      <c r="D92" t="inlineStr">
        <is>
          <t>Carousel</t>
        </is>
      </c>
      <c r="E92" t="inlineStr">
        <is>
          <t>Text</t>
        </is>
      </c>
      <c r="F92" t="inlineStr">
        <is>
          <t>Afternoon</t>
        </is>
      </c>
      <c r="G92" t="inlineStr">
        <is>
          <t>Advice</t>
        </is>
      </c>
      <c r="H92" t="n">
        <v/>
      </c>
      <c r="I92" t="n">
        <v>15161</v>
      </c>
      <c r="J92" t="n">
        <v>1762</v>
      </c>
      <c r="K92" t="n">
        <v>487</v>
      </c>
      <c r="L92" t="n">
        <v>460</v>
      </c>
      <c r="M92" t="n">
        <v>216</v>
      </c>
      <c r="N92" t="n">
        <v>0.61</v>
      </c>
      <c r="O92" t="inlineStr">
        <is>
          <t>I feel understood by this post.</t>
        </is>
      </c>
      <c r="P92">
        <f>IFERROR((J92+K92+L92+M92)/I92,0)</f>
        <v/>
      </c>
      <c r="Q92">
        <f>IFERROR((2*K92+2*L92+J92)/I92,0)</f>
        <v/>
      </c>
      <c r="R92">
        <f>IFERROR(L92/K92,0)</f>
        <v/>
      </c>
      <c r="S92">
        <f>IF(AND(P92&gt;=0.10,Q92&gt;=0.08,N92&gt;=0.60),"Eligible","Not Eligible")</f>
        <v/>
      </c>
      <c r="T92">
        <f>IFS(P92&gt;=0.20,"A+",P92&gt;=0.15,"A",P92&gt;=0.10,"B",P92&gt;=0.05,"C",TRUE,"D")</f>
        <v/>
      </c>
    </row>
    <row r="93">
      <c r="A93" t="inlineStr">
        <is>
          <t>P092</t>
        </is>
      </c>
      <c r="B93" s="2" t="n">
        <v>46114</v>
      </c>
      <c r="C93" t="inlineStr">
        <is>
          <t>Overthinking</t>
        </is>
      </c>
      <c r="D93" t="inlineStr">
        <is>
          <t>Short Video</t>
        </is>
      </c>
      <c r="E93" t="inlineStr">
        <is>
          <t>Text</t>
        </is>
      </c>
      <c r="F93" t="inlineStr">
        <is>
          <t>Evening</t>
        </is>
      </c>
      <c r="G93" t="inlineStr">
        <is>
          <t>Question</t>
        </is>
      </c>
      <c r="H93" t="n">
        <v>21</v>
      </c>
      <c r="I93" t="n">
        <v>33732</v>
      </c>
      <c r="J93" t="n">
        <v>3654</v>
      </c>
      <c r="K93" t="n">
        <v>1011</v>
      </c>
      <c r="L93" t="n">
        <v>955</v>
      </c>
      <c r="M93" t="n">
        <v>449</v>
      </c>
      <c r="N93" t="n">
        <v>0.751</v>
      </c>
      <c r="O93" t="inlineStr">
        <is>
          <t>This is incredibly relatable.</t>
        </is>
      </c>
      <c r="P93">
        <f>IFERROR((J93+K93+L93+M93)/I93,0)</f>
        <v/>
      </c>
      <c r="Q93">
        <f>IFERROR((2*K93+2*L93+J93)/I93,0)</f>
        <v/>
      </c>
      <c r="R93">
        <f>IFERROR(L93/K93,0)</f>
        <v/>
      </c>
      <c r="S93">
        <f>IF(AND(P93&gt;=0.10,Q93&gt;=0.08,N93&gt;=0.60),"Eligible","Not Eligible")</f>
        <v/>
      </c>
      <c r="T93">
        <f>IFS(P93&gt;=0.20,"A+",P93&gt;=0.15,"A",P93&gt;=0.10,"B",P93&gt;=0.05,"C",TRUE,"D")</f>
        <v/>
      </c>
    </row>
    <row r="94">
      <c r="A94" t="inlineStr">
        <is>
          <t>P093</t>
        </is>
      </c>
      <c r="B94" s="2" t="n">
        <v>46115</v>
      </c>
      <c r="C94" t="inlineStr">
        <is>
          <t>Dating</t>
        </is>
      </c>
      <c r="D94" t="inlineStr">
        <is>
          <t>Short Video</t>
        </is>
      </c>
      <c r="E94" t="inlineStr">
        <is>
          <t>Text</t>
        </is>
      </c>
      <c r="F94" t="inlineStr">
        <is>
          <t>Morning</t>
        </is>
      </c>
      <c r="G94" t="inlineStr">
        <is>
          <t>Advice</t>
        </is>
      </c>
      <c r="H94" t="n">
        <v>39</v>
      </c>
      <c r="I94" t="n">
        <v>16314</v>
      </c>
      <c r="J94" t="n">
        <v>1263</v>
      </c>
      <c r="K94" t="n">
        <v>349</v>
      </c>
      <c r="L94" t="n">
        <v>330</v>
      </c>
      <c r="M94" t="n">
        <v>155</v>
      </c>
      <c r="N94" t="n">
        <v>0.6929999999999999</v>
      </c>
      <c r="O94" t="inlineStr">
        <is>
          <t>I have felt exactly like this before.</t>
        </is>
      </c>
      <c r="P94">
        <f>IFERROR((J94+K94+L94+M94)/I94,0)</f>
        <v/>
      </c>
      <c r="Q94">
        <f>IFERROR((2*K94+2*L94+J94)/I94,0)</f>
        <v/>
      </c>
      <c r="R94">
        <f>IFERROR(L94/K94,0)</f>
        <v/>
      </c>
      <c r="S94">
        <f>IF(AND(P94&gt;=0.10,Q94&gt;=0.08,N94&gt;=0.60),"Eligible","Not Eligible")</f>
        <v/>
      </c>
      <c r="T94">
        <f>IFS(P94&gt;=0.20,"A+",P94&gt;=0.15,"A",P94&gt;=0.10,"B",P94&gt;=0.05,"C",TRUE,"D")</f>
        <v/>
      </c>
    </row>
    <row r="95">
      <c r="A95" t="inlineStr">
        <is>
          <t>P094</t>
        </is>
      </c>
      <c r="B95" s="2" t="n">
        <v>46116</v>
      </c>
      <c r="C95" t="inlineStr">
        <is>
          <t>Dating</t>
        </is>
      </c>
      <c r="D95" t="inlineStr">
        <is>
          <t>Short Video</t>
        </is>
      </c>
      <c r="E95" t="inlineStr">
        <is>
          <t>Text</t>
        </is>
      </c>
      <c r="F95" t="inlineStr">
        <is>
          <t>Afternoon</t>
        </is>
      </c>
      <c r="G95" t="inlineStr">
        <is>
          <t>Question</t>
        </is>
      </c>
      <c r="H95" t="n">
        <v>59</v>
      </c>
      <c r="I95" t="n">
        <v>28954</v>
      </c>
      <c r="J95" t="n">
        <v>2184</v>
      </c>
      <c r="K95" t="n">
        <v>605</v>
      </c>
      <c r="L95" t="n">
        <v>571</v>
      </c>
      <c r="M95" t="n">
        <v>268</v>
      </c>
      <c r="N95" t="n">
        <v>0.496</v>
      </c>
      <c r="O95" t="inlineStr">
        <is>
          <t>This is so relatable to my dating life.</t>
        </is>
      </c>
      <c r="P95">
        <f>IFERROR((J95+K95+L95+M95)/I95,0)</f>
        <v/>
      </c>
      <c r="Q95">
        <f>IFERROR((2*K95+2*L95+J95)/I95,0)</f>
        <v/>
      </c>
      <c r="R95">
        <f>IFERROR(L95/K95,0)</f>
        <v/>
      </c>
      <c r="S95">
        <f>IF(AND(P95&gt;=0.10,Q95&gt;=0.08,N95&gt;=0.60),"Eligible","Not Eligible")</f>
        <v/>
      </c>
      <c r="T95">
        <f>IFS(P95&gt;=0.20,"A+",P95&gt;=0.15,"A",P95&gt;=0.10,"B",P95&gt;=0.05,"C",TRUE,"D")</f>
        <v/>
      </c>
    </row>
    <row r="96">
      <c r="A96" t="inlineStr">
        <is>
          <t>P095</t>
        </is>
      </c>
      <c r="B96" s="2" t="n">
        <v>46117</v>
      </c>
      <c r="C96" t="inlineStr">
        <is>
          <t>Dating</t>
        </is>
      </c>
      <c r="D96" t="inlineStr">
        <is>
          <t>Carousel</t>
        </is>
      </c>
      <c r="E96" t="inlineStr">
        <is>
          <t>Visual</t>
        </is>
      </c>
      <c r="F96" t="inlineStr">
        <is>
          <t>Evening</t>
        </is>
      </c>
      <c r="G96" t="inlineStr">
        <is>
          <t>Question</t>
        </is>
      </c>
      <c r="H96" t="n">
        <v/>
      </c>
      <c r="I96" t="n">
        <v>26508</v>
      </c>
      <c r="J96" t="n">
        <v>2471</v>
      </c>
      <c r="K96" t="n">
        <v>684</v>
      </c>
      <c r="L96" t="n">
        <v>646</v>
      </c>
      <c r="M96" t="n">
        <v>304</v>
      </c>
      <c r="N96" t="n">
        <v>0.669</v>
      </c>
      <c r="O96" t="inlineStr">
        <is>
          <t>This explains what many people experience.</t>
        </is>
      </c>
      <c r="P96">
        <f>IFERROR((J96+K96+L96+M96)/I96,0)</f>
        <v/>
      </c>
      <c r="Q96">
        <f>IFERROR((2*K96+2*L96+J96)/I96,0)</f>
        <v/>
      </c>
      <c r="R96">
        <f>IFERROR(L96/K96,0)</f>
        <v/>
      </c>
      <c r="S96">
        <f>IF(AND(P96&gt;=0.10,Q96&gt;=0.08,N96&gt;=0.60),"Eligible","Not Eligible")</f>
        <v/>
      </c>
      <c r="T96">
        <f>IFS(P96&gt;=0.20,"A+",P96&gt;=0.15,"A",P96&gt;=0.10,"B",P96&gt;=0.05,"C",TRUE,"D")</f>
        <v/>
      </c>
    </row>
    <row r="97">
      <c r="A97" t="inlineStr">
        <is>
          <t>P096</t>
        </is>
      </c>
      <c r="B97" s="2" t="n">
        <v>46118</v>
      </c>
      <c r="C97" t="inlineStr">
        <is>
          <t>Dating</t>
        </is>
      </c>
      <c r="D97" t="inlineStr">
        <is>
          <t>Short Video</t>
        </is>
      </c>
      <c r="E97" t="inlineStr">
        <is>
          <t>Visual</t>
        </is>
      </c>
      <c r="F97" t="inlineStr">
        <is>
          <t>Afternoon</t>
        </is>
      </c>
      <c r="G97" t="inlineStr">
        <is>
          <t>Story</t>
        </is>
      </c>
      <c r="H97" t="n">
        <v>50</v>
      </c>
      <c r="I97" t="n">
        <v>26969</v>
      </c>
      <c r="J97" t="n">
        <v>3569</v>
      </c>
      <c r="K97" t="n">
        <v>988</v>
      </c>
      <c r="L97" t="n">
        <v>933</v>
      </c>
      <c r="M97" t="n">
        <v>439</v>
      </c>
      <c r="N97" t="n">
        <v>0.749</v>
      </c>
      <c r="O97" t="inlineStr">
        <is>
          <t>This explains what many people experience.</t>
        </is>
      </c>
      <c r="P97">
        <f>IFERROR((J97+K97+L97+M97)/I97,0)</f>
        <v/>
      </c>
      <c r="Q97">
        <f>IFERROR((2*K97+2*L97+J97)/I97,0)</f>
        <v/>
      </c>
      <c r="R97">
        <f>IFERROR(L97/K97,0)</f>
        <v/>
      </c>
      <c r="S97">
        <f>IF(AND(P97&gt;=0.10,Q97&gt;=0.08,N97&gt;=0.60),"Eligible","Not Eligible")</f>
        <v/>
      </c>
      <c r="T97">
        <f>IFS(P97&gt;=0.20,"A+",P97&gt;=0.15,"A",P97&gt;=0.10,"B",P97&gt;=0.05,"C",TRUE,"D")</f>
        <v/>
      </c>
    </row>
    <row r="98">
      <c r="A98" t="inlineStr">
        <is>
          <t>P097</t>
        </is>
      </c>
      <c r="B98" s="2" t="n">
        <v>46119</v>
      </c>
      <c r="C98" t="inlineStr">
        <is>
          <t>Dating</t>
        </is>
      </c>
      <c r="D98" t="inlineStr">
        <is>
          <t>Long Video</t>
        </is>
      </c>
      <c r="E98" t="inlineStr">
        <is>
          <t>Text</t>
        </is>
      </c>
      <c r="F98" t="inlineStr">
        <is>
          <t>Morning</t>
        </is>
      </c>
      <c r="G98" t="inlineStr">
        <is>
          <t>Advice</t>
        </is>
      </c>
      <c r="H98" t="n">
        <v>78</v>
      </c>
      <c r="I98" t="n">
        <v>42545</v>
      </c>
      <c r="J98" t="n">
        <v>4638</v>
      </c>
      <c r="K98" t="n">
        <v>1284</v>
      </c>
      <c r="L98" t="n">
        <v>1213</v>
      </c>
      <c r="M98" t="n">
        <v>570</v>
      </c>
      <c r="N98" t="n">
        <v>0.6929999999999999</v>
      </c>
      <c r="O98" t="inlineStr">
        <is>
          <t>Not really relatable to me.</t>
        </is>
      </c>
      <c r="P98">
        <f>IFERROR((J98+K98+L98+M98)/I98,0)</f>
        <v/>
      </c>
      <c r="Q98">
        <f>IFERROR((2*K98+2*L98+J98)/I98,0)</f>
        <v/>
      </c>
      <c r="R98">
        <f>IFERROR(L98/K98,0)</f>
        <v/>
      </c>
      <c r="S98">
        <f>IF(AND(P98&gt;=0.10,Q98&gt;=0.08,N98&gt;=0.60),"Eligible","Not Eligible")</f>
        <v/>
      </c>
      <c r="T98">
        <f>IFS(P98&gt;=0.20,"A+",P98&gt;=0.15,"A",P98&gt;=0.10,"B",P98&gt;=0.05,"C",TRUE,"D")</f>
        <v/>
      </c>
    </row>
    <row r="99">
      <c r="A99" t="inlineStr">
        <is>
          <t>P098</t>
        </is>
      </c>
      <c r="B99" s="2" t="n">
        <v>46120</v>
      </c>
      <c r="C99" t="inlineStr">
        <is>
          <t>Overthinking</t>
        </is>
      </c>
      <c r="D99" t="inlineStr">
        <is>
          <t>Long Video</t>
        </is>
      </c>
      <c r="E99" t="inlineStr">
        <is>
          <t>Text</t>
        </is>
      </c>
      <c r="F99" t="inlineStr">
        <is>
          <t>Afternoon</t>
        </is>
      </c>
      <c r="G99" t="inlineStr">
        <is>
          <t>Question</t>
        </is>
      </c>
      <c r="H99" t="n">
        <v>156</v>
      </c>
      <c r="I99" t="n">
        <v>41668</v>
      </c>
      <c r="J99" t="n">
        <v>5589</v>
      </c>
      <c r="K99" t="n">
        <v>1547</v>
      </c>
      <c r="L99" t="n">
        <v>1461</v>
      </c>
      <c r="M99" t="n">
        <v>687</v>
      </c>
      <c r="N99" t="n">
        <v>0.761</v>
      </c>
      <c r="O99" t="inlineStr">
        <is>
          <t>This topic is not relatable to me.</t>
        </is>
      </c>
      <c r="P99">
        <f>IFERROR((J99+K99+L99+M99)/I99,0)</f>
        <v/>
      </c>
      <c r="Q99">
        <f>IFERROR((2*K99+2*L99+J99)/I99,0)</f>
        <v/>
      </c>
      <c r="R99">
        <f>IFERROR(L99/K99,0)</f>
        <v/>
      </c>
      <c r="S99">
        <f>IF(AND(P99&gt;=0.10,Q99&gt;=0.08,N99&gt;=0.60),"Eligible","Not Eligible")</f>
        <v/>
      </c>
      <c r="T99">
        <f>IFS(P99&gt;=0.20,"A+",P99&gt;=0.15,"A",P99&gt;=0.10,"B",P99&gt;=0.05,"C",TRUE,"D")</f>
        <v/>
      </c>
    </row>
    <row r="100">
      <c r="A100" t="inlineStr">
        <is>
          <t>P099</t>
        </is>
      </c>
      <c r="B100" s="2" t="n">
        <v>46121</v>
      </c>
      <c r="C100" t="inlineStr">
        <is>
          <t>Dating</t>
        </is>
      </c>
      <c r="D100" t="inlineStr">
        <is>
          <t>Short Video</t>
        </is>
      </c>
      <c r="E100" t="inlineStr">
        <is>
          <t>Visual</t>
        </is>
      </c>
      <c r="F100" t="inlineStr">
        <is>
          <t>Afternoon</t>
        </is>
      </c>
      <c r="G100" t="inlineStr">
        <is>
          <t>Question</t>
        </is>
      </c>
      <c r="H100" t="n">
        <v>33</v>
      </c>
      <c r="I100" t="n">
        <v>28061</v>
      </c>
      <c r="J100" t="n">
        <v>1720</v>
      </c>
      <c r="K100" t="n">
        <v>476</v>
      </c>
      <c r="L100" t="n">
        <v>450</v>
      </c>
      <c r="M100" t="n">
        <v>211</v>
      </c>
      <c r="N100" t="n">
        <v>0.778</v>
      </c>
      <c r="O100" t="inlineStr">
        <is>
          <t>This is so relatable to my dating life.</t>
        </is>
      </c>
      <c r="P100">
        <f>IFERROR((J100+K100+L100+M100)/I100,0)</f>
        <v/>
      </c>
      <c r="Q100">
        <f>IFERROR((2*K100+2*L100+J100)/I100,0)</f>
        <v/>
      </c>
      <c r="R100">
        <f>IFERROR(L100/K100,0)</f>
        <v/>
      </c>
      <c r="S100">
        <f>IF(AND(P100&gt;=0.10,Q100&gt;=0.08,N100&gt;=0.60),"Eligible","Not Eligible")</f>
        <v/>
      </c>
      <c r="T100">
        <f>IFS(P100&gt;=0.20,"A+",P100&gt;=0.15,"A",P100&gt;=0.10,"B",P100&gt;=0.05,"C",TRUE,"D")</f>
        <v/>
      </c>
    </row>
    <row r="101">
      <c r="A101" t="inlineStr">
        <is>
          <t>P100</t>
        </is>
      </c>
      <c r="B101" s="2" t="n">
        <v>46122</v>
      </c>
      <c r="C101" t="inlineStr">
        <is>
          <t>Social Anxiety</t>
        </is>
      </c>
      <c r="D101" t="inlineStr">
        <is>
          <t>Long Video</t>
        </is>
      </c>
      <c r="E101" t="inlineStr">
        <is>
          <t>Visual</t>
        </is>
      </c>
      <c r="F101" t="inlineStr">
        <is>
          <t>Afternoon</t>
        </is>
      </c>
      <c r="G101" t="inlineStr">
        <is>
          <t>Advice</t>
        </is>
      </c>
      <c r="H101" t="n">
        <v>109</v>
      </c>
      <c r="I101" t="n">
        <v>18716</v>
      </c>
      <c r="J101" t="n">
        <v>2620</v>
      </c>
      <c r="K101" t="n">
        <v>725</v>
      </c>
      <c r="L101" t="n">
        <v>685</v>
      </c>
      <c r="M101" t="n">
        <v>322</v>
      </c>
      <c r="N101" t="n">
        <v>0.68</v>
      </c>
      <c r="O101" t="inlineStr">
        <is>
          <t>This is exactly how I feel in social situations.</t>
        </is>
      </c>
      <c r="P101">
        <f>IFERROR((J101+K101+L101+M101)/I101,0)</f>
        <v/>
      </c>
      <c r="Q101">
        <f>IFERROR((2*K101+2*L101+J101)/I101,0)</f>
        <v/>
      </c>
      <c r="R101">
        <f>IFERROR(L101/K101,0)</f>
        <v/>
      </c>
      <c r="S101">
        <f>IF(AND(P101&gt;=0.10,Q101&gt;=0.08,N101&gt;=0.60),"Eligible","Not Eligible")</f>
        <v/>
      </c>
      <c r="T101">
        <f>IFS(P101&gt;=0.20,"A+",P101&gt;=0.15,"A",P101&gt;=0.10,"B",P101&gt;=0.05,"C",TRUE,"D")</f>
        <v/>
      </c>
    </row>
    <row r="102">
      <c r="A102" t="inlineStr">
        <is>
          <t>P101</t>
        </is>
      </c>
      <c r="B102" s="2" t="n">
        <v>46123</v>
      </c>
      <c r="C102" t="inlineStr">
        <is>
          <t>Self Confidence</t>
        </is>
      </c>
      <c r="D102" t="inlineStr">
        <is>
          <t>Short Video</t>
        </is>
      </c>
      <c r="E102" t="inlineStr">
        <is>
          <t>Text</t>
        </is>
      </c>
      <c r="F102" t="inlineStr">
        <is>
          <t>Afternoon</t>
        </is>
      </c>
      <c r="G102" t="inlineStr">
        <is>
          <t>Story</t>
        </is>
      </c>
      <c r="H102" t="n">
        <v>53</v>
      </c>
      <c r="I102" t="n">
        <v>44749</v>
      </c>
      <c r="J102" t="n">
        <v>4640</v>
      </c>
      <c r="K102" t="n">
        <v>1285</v>
      </c>
      <c r="L102" t="n">
        <v>1213</v>
      </c>
      <c r="M102" t="n">
        <v>571</v>
      </c>
      <c r="N102" t="n">
        <v>0.661</v>
      </c>
      <c r="O102" t="inlineStr">
        <is>
          <t>Helpful advice, thank you.</t>
        </is>
      </c>
      <c r="P102">
        <f>IFERROR((J102+K102+L102+M102)/I102,0)</f>
        <v/>
      </c>
      <c r="Q102">
        <f>IFERROR((2*K102+2*L102+J102)/I102,0)</f>
        <v/>
      </c>
      <c r="R102">
        <f>IFERROR(L102/K102,0)</f>
        <v/>
      </c>
      <c r="S102">
        <f>IF(AND(P102&gt;=0.10,Q102&gt;=0.08,N102&gt;=0.60),"Eligible","Not Eligible")</f>
        <v/>
      </c>
      <c r="T102">
        <f>IFS(P102&gt;=0.20,"A+",P102&gt;=0.15,"A",P102&gt;=0.10,"B",P102&gt;=0.05,"C",TRUE,"D")</f>
        <v/>
      </c>
    </row>
    <row r="103">
      <c r="A103" t="inlineStr">
        <is>
          <t>P102</t>
        </is>
      </c>
      <c r="B103" s="2" t="n">
        <v>46124</v>
      </c>
      <c r="C103" t="inlineStr">
        <is>
          <t>Dating</t>
        </is>
      </c>
      <c r="D103" t="inlineStr">
        <is>
          <t>Long Video</t>
        </is>
      </c>
      <c r="E103" t="inlineStr">
        <is>
          <t>Visual</t>
        </is>
      </c>
      <c r="F103" t="inlineStr">
        <is>
          <t>Morning</t>
        </is>
      </c>
      <c r="G103" t="inlineStr">
        <is>
          <t>Story</t>
        </is>
      </c>
      <c r="H103" t="n">
        <v>145</v>
      </c>
      <c r="I103" t="n">
        <v>44144</v>
      </c>
      <c r="J103" t="n">
        <v>3255</v>
      </c>
      <c r="K103" t="n">
        <v>901</v>
      </c>
      <c r="L103" t="n">
        <v>851</v>
      </c>
      <c r="M103" t="n">
        <v>400</v>
      </c>
      <c r="N103" t="n">
        <v>0.404</v>
      </c>
      <c r="O103" t="inlineStr">
        <is>
          <t>Not really relatable to me.</t>
        </is>
      </c>
      <c r="P103">
        <f>IFERROR((J103+K103+L103+M103)/I103,0)</f>
        <v/>
      </c>
      <c r="Q103">
        <f>IFERROR((2*K103+2*L103+J103)/I103,0)</f>
        <v/>
      </c>
      <c r="R103">
        <f>IFERROR(L103/K103,0)</f>
        <v/>
      </c>
      <c r="S103">
        <f>IF(AND(P103&gt;=0.10,Q103&gt;=0.08,N103&gt;=0.60),"Eligible","Not Eligible")</f>
        <v/>
      </c>
      <c r="T103">
        <f>IFS(P103&gt;=0.20,"A+",P103&gt;=0.15,"A",P103&gt;=0.10,"B",P103&gt;=0.05,"C",TRUE,"D")</f>
        <v/>
      </c>
    </row>
    <row r="104">
      <c r="A104" t="inlineStr">
        <is>
          <t>P103</t>
        </is>
      </c>
      <c r="B104" s="2" t="n">
        <v>46125</v>
      </c>
      <c r="C104" t="inlineStr">
        <is>
          <t>Dating</t>
        </is>
      </c>
      <c r="D104" t="inlineStr">
        <is>
          <t>Long Video</t>
        </is>
      </c>
      <c r="E104" t="inlineStr">
        <is>
          <t>Text</t>
        </is>
      </c>
      <c r="F104" t="inlineStr">
        <is>
          <t>Night</t>
        </is>
      </c>
      <c r="G104" t="inlineStr">
        <is>
          <t>Question</t>
        </is>
      </c>
      <c r="H104" t="n">
        <v>86</v>
      </c>
      <c r="I104" t="n">
        <v>21907</v>
      </c>
      <c r="J104" t="n">
        <v>1342</v>
      </c>
      <c r="K104" t="n">
        <v>371</v>
      </c>
      <c r="L104" t="n">
        <v>351</v>
      </c>
      <c r="M104" t="n">
        <v>165</v>
      </c>
      <c r="N104" t="n">
        <v>0.676</v>
      </c>
      <c r="O104" t="inlineStr">
        <is>
          <t>I have felt exactly like this before.</t>
        </is>
      </c>
      <c r="P104">
        <f>IFERROR((J104+K104+L104+M104)/I104,0)</f>
        <v/>
      </c>
      <c r="Q104">
        <f>IFERROR((2*K104+2*L104+J104)/I104,0)</f>
        <v/>
      </c>
      <c r="R104">
        <f>IFERROR(L104/K104,0)</f>
        <v/>
      </c>
      <c r="S104">
        <f>IF(AND(P104&gt;=0.10,Q104&gt;=0.08,N104&gt;=0.60),"Eligible","Not Eligible")</f>
        <v/>
      </c>
      <c r="T104">
        <f>IFS(P104&gt;=0.20,"A+",P104&gt;=0.15,"A",P104&gt;=0.10,"B",P104&gt;=0.05,"C",TRUE,"D")</f>
        <v/>
      </c>
    </row>
    <row r="105">
      <c r="A105" t="inlineStr">
        <is>
          <t>P104</t>
        </is>
      </c>
      <c r="B105" s="2" t="n">
        <v>46126</v>
      </c>
      <c r="C105" t="inlineStr">
        <is>
          <t>Overthinking</t>
        </is>
      </c>
      <c r="D105" t="inlineStr">
        <is>
          <t>Long Video</t>
        </is>
      </c>
      <c r="E105" t="inlineStr">
        <is>
          <t>Visual</t>
        </is>
      </c>
      <c r="F105" t="inlineStr">
        <is>
          <t>Afternoon</t>
        </is>
      </c>
      <c r="G105" t="inlineStr">
        <is>
          <t>Advice</t>
        </is>
      </c>
      <c r="H105" t="n">
        <v>123</v>
      </c>
      <c r="I105" t="n">
        <v>23777</v>
      </c>
      <c r="J105" t="n">
        <v>2532</v>
      </c>
      <c r="K105" t="n">
        <v>701</v>
      </c>
      <c r="L105" t="n">
        <v>662</v>
      </c>
      <c r="M105" t="n">
        <v>311</v>
      </c>
      <c r="N105" t="n">
        <v>0.647</v>
      </c>
      <c r="O105" t="inlineStr">
        <is>
          <t>I feel understood by this post.</t>
        </is>
      </c>
      <c r="P105">
        <f>IFERROR((J105+K105+L105+M105)/I105,0)</f>
        <v/>
      </c>
      <c r="Q105">
        <f>IFERROR((2*K105+2*L105+J105)/I105,0)</f>
        <v/>
      </c>
      <c r="R105">
        <f>IFERROR(L105/K105,0)</f>
        <v/>
      </c>
      <c r="S105">
        <f>IF(AND(P105&gt;=0.10,Q105&gt;=0.08,N105&gt;=0.60),"Eligible","Not Eligible")</f>
        <v/>
      </c>
      <c r="T105">
        <f>IFS(P105&gt;=0.20,"A+",P105&gt;=0.15,"A",P105&gt;=0.10,"B",P105&gt;=0.05,"C",TRUE,"D")</f>
        <v/>
      </c>
    </row>
    <row r="106">
      <c r="A106" t="inlineStr">
        <is>
          <t>P105</t>
        </is>
      </c>
      <c r="B106" s="2" t="n">
        <v>46127</v>
      </c>
      <c r="C106" t="inlineStr">
        <is>
          <t>Dating</t>
        </is>
      </c>
      <c r="D106" t="inlineStr">
        <is>
          <t>Short Video</t>
        </is>
      </c>
      <c r="E106" t="inlineStr">
        <is>
          <t>Text</t>
        </is>
      </c>
      <c r="F106" t="inlineStr">
        <is>
          <t>Afternoon</t>
        </is>
      </c>
      <c r="G106" t="inlineStr">
        <is>
          <t>Story</t>
        </is>
      </c>
      <c r="H106" t="n">
        <v>33</v>
      </c>
      <c r="I106" t="n">
        <v>32693</v>
      </c>
      <c r="J106" t="n">
        <v>3002</v>
      </c>
      <c r="K106" t="n">
        <v>831</v>
      </c>
      <c r="L106" t="n">
        <v>785</v>
      </c>
      <c r="M106" t="n">
        <v>369</v>
      </c>
      <c r="N106" t="n">
        <v>0.705</v>
      </c>
      <c r="O106" t="inlineStr">
        <is>
          <t>This is so relatable to my dating life.</t>
        </is>
      </c>
      <c r="P106">
        <f>IFERROR((J106+K106+L106+M106)/I106,0)</f>
        <v/>
      </c>
      <c r="Q106">
        <f>IFERROR((2*K106+2*L106+J106)/I106,0)</f>
        <v/>
      </c>
      <c r="R106">
        <f>IFERROR(L106/K106,0)</f>
        <v/>
      </c>
      <c r="S106">
        <f>IF(AND(P106&gt;=0.10,Q106&gt;=0.08,N106&gt;=0.60),"Eligible","Not Eligible")</f>
        <v/>
      </c>
      <c r="T106">
        <f>IFS(P106&gt;=0.20,"A+",P106&gt;=0.15,"A",P106&gt;=0.10,"B",P106&gt;=0.05,"C",TRUE,"D")</f>
        <v/>
      </c>
    </row>
    <row r="107">
      <c r="A107" t="inlineStr">
        <is>
          <t>P106</t>
        </is>
      </c>
      <c r="B107" s="2" t="n">
        <v>46128</v>
      </c>
      <c r="C107" t="inlineStr">
        <is>
          <t>Dating</t>
        </is>
      </c>
      <c r="D107" t="inlineStr">
        <is>
          <t>Carousel</t>
        </is>
      </c>
      <c r="E107" t="inlineStr">
        <is>
          <t>Visual</t>
        </is>
      </c>
      <c r="F107" t="inlineStr">
        <is>
          <t>Evening</t>
        </is>
      </c>
      <c r="G107" t="inlineStr">
        <is>
          <t>Advice</t>
        </is>
      </c>
      <c r="H107" t="n">
        <v/>
      </c>
      <c r="I107" t="n">
        <v>47928</v>
      </c>
      <c r="J107" t="n">
        <v>6492</v>
      </c>
      <c r="K107" t="n">
        <v>1797</v>
      </c>
      <c r="L107" t="n">
        <v>1697</v>
      </c>
      <c r="M107" t="n">
        <v>799</v>
      </c>
      <c r="N107" t="n">
        <v>0.454</v>
      </c>
      <c r="O107" t="inlineStr">
        <is>
          <t>This explains what many people experience.</t>
        </is>
      </c>
      <c r="P107">
        <f>IFERROR((J107+K107+L107+M107)/I107,0)</f>
        <v/>
      </c>
      <c r="Q107">
        <f>IFERROR((2*K107+2*L107+J107)/I107,0)</f>
        <v/>
      </c>
      <c r="R107">
        <f>IFERROR(L107/K107,0)</f>
        <v/>
      </c>
      <c r="S107">
        <f>IF(AND(P107&gt;=0.10,Q107&gt;=0.08,N107&gt;=0.60),"Eligible","Not Eligible")</f>
        <v/>
      </c>
      <c r="T107">
        <f>IFS(P107&gt;=0.20,"A+",P107&gt;=0.15,"A",P107&gt;=0.10,"B",P107&gt;=0.05,"C",TRUE,"D")</f>
        <v/>
      </c>
    </row>
    <row r="108">
      <c r="A108" t="inlineStr">
        <is>
          <t>P107</t>
        </is>
      </c>
      <c r="B108" s="2" t="n">
        <v>46129</v>
      </c>
      <c r="C108" t="inlineStr">
        <is>
          <t>Dating</t>
        </is>
      </c>
      <c r="D108" t="inlineStr">
        <is>
          <t>Short Video</t>
        </is>
      </c>
      <c r="E108" t="inlineStr">
        <is>
          <t>Text</t>
        </is>
      </c>
      <c r="F108" t="inlineStr">
        <is>
          <t>Afternoon</t>
        </is>
      </c>
      <c r="G108" t="inlineStr">
        <is>
          <t>Advice</t>
        </is>
      </c>
      <c r="H108" t="n">
        <v>17</v>
      </c>
      <c r="I108" t="n">
        <v>31329</v>
      </c>
      <c r="J108" t="n">
        <v>1378</v>
      </c>
      <c r="K108" t="n">
        <v>381</v>
      </c>
      <c r="L108" t="n">
        <v>360</v>
      </c>
      <c r="M108" t="n">
        <v>169</v>
      </c>
      <c r="N108" t="n">
        <v>0.529</v>
      </c>
      <c r="O108" t="inlineStr">
        <is>
          <t>This explains what many people experience.</t>
        </is>
      </c>
      <c r="P108">
        <f>IFERROR((J108+K108+L108+M108)/I108,0)</f>
        <v/>
      </c>
      <c r="Q108">
        <f>IFERROR((2*K108+2*L108+J108)/I108,0)</f>
        <v/>
      </c>
      <c r="R108">
        <f>IFERROR(L108/K108,0)</f>
        <v/>
      </c>
      <c r="S108">
        <f>IF(AND(P108&gt;=0.10,Q108&gt;=0.08,N108&gt;=0.60),"Eligible","Not Eligible")</f>
        <v/>
      </c>
      <c r="T108">
        <f>IFS(P108&gt;=0.20,"A+",P108&gt;=0.15,"A",P108&gt;=0.10,"B",P108&gt;=0.05,"C",TRUE,"D")</f>
        <v/>
      </c>
    </row>
    <row r="109">
      <c r="A109" t="inlineStr">
        <is>
          <t>P108</t>
        </is>
      </c>
      <c r="B109" s="2" t="n">
        <v>46130</v>
      </c>
      <c r="C109" t="inlineStr">
        <is>
          <t>Overthinking</t>
        </is>
      </c>
      <c r="D109" t="inlineStr">
        <is>
          <t>Short Video</t>
        </is>
      </c>
      <c r="E109" t="inlineStr">
        <is>
          <t>Visual</t>
        </is>
      </c>
      <c r="F109" t="inlineStr">
        <is>
          <t>Evening</t>
        </is>
      </c>
      <c r="G109" t="inlineStr">
        <is>
          <t>Question</t>
        </is>
      </c>
      <c r="H109" t="n">
        <v>59</v>
      </c>
      <c r="I109" t="n">
        <v>21282</v>
      </c>
      <c r="J109" t="n">
        <v>2794</v>
      </c>
      <c r="K109" t="n">
        <v>773</v>
      </c>
      <c r="L109" t="n">
        <v>730</v>
      </c>
      <c r="M109" t="n">
        <v>343</v>
      </c>
      <c r="N109" t="n">
        <v>0.8070000000000001</v>
      </c>
      <c r="O109" t="inlineStr">
        <is>
          <t>Good information and advice.</t>
        </is>
      </c>
      <c r="P109">
        <f>IFERROR((J109+K109+L109+M109)/I109,0)</f>
        <v/>
      </c>
      <c r="Q109">
        <f>IFERROR((2*K109+2*L109+J109)/I109,0)</f>
        <v/>
      </c>
      <c r="R109">
        <f>IFERROR(L109/K109,0)</f>
        <v/>
      </c>
      <c r="S109">
        <f>IF(AND(P109&gt;=0.10,Q109&gt;=0.08,N109&gt;=0.60),"Eligible","Not Eligible")</f>
        <v/>
      </c>
      <c r="T109">
        <f>IFS(P109&gt;=0.20,"A+",P109&gt;=0.15,"A",P109&gt;=0.10,"B",P109&gt;=0.05,"C",TRUE,"D")</f>
        <v/>
      </c>
    </row>
    <row r="110">
      <c r="A110" t="inlineStr">
        <is>
          <t>P109</t>
        </is>
      </c>
      <c r="B110" s="2" t="n">
        <v>46131</v>
      </c>
      <c r="C110" t="inlineStr">
        <is>
          <t>Dating</t>
        </is>
      </c>
      <c r="D110" t="inlineStr">
        <is>
          <t>Short Video</t>
        </is>
      </c>
      <c r="E110" t="inlineStr">
        <is>
          <t>Visual</t>
        </is>
      </c>
      <c r="F110" t="inlineStr">
        <is>
          <t>Night</t>
        </is>
      </c>
      <c r="G110" t="inlineStr">
        <is>
          <t>Story</t>
        </is>
      </c>
      <c r="H110" t="n">
        <v>27</v>
      </c>
      <c r="I110" t="n">
        <v>28624</v>
      </c>
      <c r="J110" t="n">
        <v>1858</v>
      </c>
      <c r="K110" t="n">
        <v>514</v>
      </c>
      <c r="L110" t="n">
        <v>486</v>
      </c>
      <c r="M110" t="n">
        <v>228</v>
      </c>
      <c r="N110" t="n">
        <v>0.665</v>
      </c>
      <c r="O110" t="inlineStr">
        <is>
          <t>Not really relatable to me.</t>
        </is>
      </c>
      <c r="P110">
        <f>IFERROR((J110+K110+L110+M110)/I110,0)</f>
        <v/>
      </c>
      <c r="Q110">
        <f>IFERROR((2*K110+2*L110+J110)/I110,0)</f>
        <v/>
      </c>
      <c r="R110">
        <f>IFERROR(L110/K110,0)</f>
        <v/>
      </c>
      <c r="S110">
        <f>IF(AND(P110&gt;=0.10,Q110&gt;=0.08,N110&gt;=0.60),"Eligible","Not Eligible")</f>
        <v/>
      </c>
      <c r="T110">
        <f>IFS(P110&gt;=0.20,"A+",P110&gt;=0.15,"A",P110&gt;=0.10,"B",P110&gt;=0.05,"C",TRUE,"D")</f>
        <v/>
      </c>
    </row>
    <row r="111">
      <c r="A111" t="inlineStr">
        <is>
          <t>P110</t>
        </is>
      </c>
      <c r="B111" s="2" t="n">
        <v>46132</v>
      </c>
      <c r="C111" t="inlineStr">
        <is>
          <t>Self Confidence</t>
        </is>
      </c>
      <c r="D111" t="inlineStr">
        <is>
          <t>Long Video</t>
        </is>
      </c>
      <c r="E111" t="inlineStr">
        <is>
          <t>Text</t>
        </is>
      </c>
      <c r="F111" t="inlineStr">
        <is>
          <t>Morning</t>
        </is>
      </c>
      <c r="G111" t="inlineStr">
        <is>
          <t>Question</t>
        </is>
      </c>
      <c r="H111" t="n">
        <v>137</v>
      </c>
      <c r="I111" t="n">
        <v>28321</v>
      </c>
      <c r="J111" t="n">
        <v>1821</v>
      </c>
      <c r="K111" t="n">
        <v>504</v>
      </c>
      <c r="L111" t="n">
        <v>476</v>
      </c>
      <c r="M111" t="n">
        <v>224</v>
      </c>
      <c r="N111" t="n">
        <v>0.709</v>
      </c>
      <c r="O111" t="inlineStr">
        <is>
          <t>I needed to hear this today.</t>
        </is>
      </c>
      <c r="P111">
        <f>IFERROR((J111+K111+L111+M111)/I111,0)</f>
        <v/>
      </c>
      <c r="Q111">
        <f>IFERROR((2*K111+2*L111+J111)/I111,0)</f>
        <v/>
      </c>
      <c r="R111">
        <f>IFERROR(L111/K111,0)</f>
        <v/>
      </c>
      <c r="S111">
        <f>IF(AND(P111&gt;=0.10,Q111&gt;=0.08,N111&gt;=0.60),"Eligible","Not Eligible")</f>
        <v/>
      </c>
      <c r="T111">
        <f>IFS(P111&gt;=0.20,"A+",P111&gt;=0.15,"A",P111&gt;=0.10,"B",P111&gt;=0.05,"C",TRUE,"D")</f>
        <v/>
      </c>
    </row>
    <row r="112">
      <c r="A112" t="inlineStr">
        <is>
          <t>P111</t>
        </is>
      </c>
      <c r="B112" s="2" t="n">
        <v>46133</v>
      </c>
      <c r="C112" t="inlineStr">
        <is>
          <t>Overthinking</t>
        </is>
      </c>
      <c r="D112" t="inlineStr">
        <is>
          <t>Long Video</t>
        </is>
      </c>
      <c r="E112" t="inlineStr">
        <is>
          <t>Visual</t>
        </is>
      </c>
      <c r="F112" t="inlineStr">
        <is>
          <t>Morning</t>
        </is>
      </c>
      <c r="G112" t="inlineStr">
        <is>
          <t>Story</t>
        </is>
      </c>
      <c r="H112" t="n">
        <v>93</v>
      </c>
      <c r="I112" t="n">
        <v>15488</v>
      </c>
      <c r="J112" t="n">
        <v>1149</v>
      </c>
      <c r="K112" t="n">
        <v>318</v>
      </c>
      <c r="L112" t="n">
        <v>300</v>
      </c>
      <c r="M112" t="n">
        <v>141</v>
      </c>
      <c r="N112" t="n">
        <v>0.624</v>
      </c>
      <c r="O112" t="inlineStr">
        <is>
          <t>I feel understood by this post.</t>
        </is>
      </c>
      <c r="P112">
        <f>IFERROR((J112+K112+L112+M112)/I112,0)</f>
        <v/>
      </c>
      <c r="Q112">
        <f>IFERROR((2*K112+2*L112+J112)/I112,0)</f>
        <v/>
      </c>
      <c r="R112">
        <f>IFERROR(L112/K112,0)</f>
        <v/>
      </c>
      <c r="S112">
        <f>IF(AND(P112&gt;=0.10,Q112&gt;=0.08,N112&gt;=0.60),"Eligible","Not Eligible")</f>
        <v/>
      </c>
      <c r="T112">
        <f>IFS(P112&gt;=0.20,"A+",P112&gt;=0.15,"A",P112&gt;=0.10,"B",P112&gt;=0.05,"C",TRUE,"D")</f>
        <v/>
      </c>
    </row>
    <row r="113">
      <c r="A113" t="inlineStr">
        <is>
          <t>P112</t>
        </is>
      </c>
      <c r="B113" s="2" t="n">
        <v>46134</v>
      </c>
      <c r="C113" t="inlineStr">
        <is>
          <t>Self Confidence</t>
        </is>
      </c>
      <c r="D113" t="inlineStr">
        <is>
          <t>Short Video</t>
        </is>
      </c>
      <c r="E113" t="inlineStr">
        <is>
          <t>Text</t>
        </is>
      </c>
      <c r="F113" t="inlineStr">
        <is>
          <t>Night</t>
        </is>
      </c>
      <c r="G113" t="inlineStr">
        <is>
          <t>Story</t>
        </is>
      </c>
      <c r="H113" t="n">
        <v>42</v>
      </c>
      <c r="I113" t="n">
        <v>27574</v>
      </c>
      <c r="J113" t="n">
        <v>3482</v>
      </c>
      <c r="K113" t="n">
        <v>964</v>
      </c>
      <c r="L113" t="n">
        <v>910</v>
      </c>
      <c r="M113" t="n">
        <v>428</v>
      </c>
      <c r="N113" t="n">
        <v>0.674</v>
      </c>
      <c r="O113" t="inlineStr">
        <is>
          <t>I needed to hear this today.</t>
        </is>
      </c>
      <c r="P113">
        <f>IFERROR((J113+K113+L113+M113)/I113,0)</f>
        <v/>
      </c>
      <c r="Q113">
        <f>IFERROR((2*K113+2*L113+J113)/I113,0)</f>
        <v/>
      </c>
      <c r="R113">
        <f>IFERROR(L113/K113,0)</f>
        <v/>
      </c>
      <c r="S113">
        <f>IF(AND(P113&gt;=0.10,Q113&gt;=0.08,N113&gt;=0.60),"Eligible","Not Eligible")</f>
        <v/>
      </c>
      <c r="T113">
        <f>IFS(P113&gt;=0.20,"A+",P113&gt;=0.15,"A",P113&gt;=0.10,"B",P113&gt;=0.05,"C",TRUE,"D")</f>
        <v/>
      </c>
    </row>
    <row r="114">
      <c r="A114" t="inlineStr">
        <is>
          <t>P113</t>
        </is>
      </c>
      <c r="B114" s="2" t="n">
        <v>46135</v>
      </c>
      <c r="C114" t="inlineStr">
        <is>
          <t>Overthinking</t>
        </is>
      </c>
      <c r="D114" t="inlineStr">
        <is>
          <t>Long Video</t>
        </is>
      </c>
      <c r="E114" t="inlineStr">
        <is>
          <t>Visual</t>
        </is>
      </c>
      <c r="F114" t="inlineStr">
        <is>
          <t>Morning</t>
        </is>
      </c>
      <c r="G114" t="inlineStr">
        <is>
          <t>Story</t>
        </is>
      </c>
      <c r="H114" t="n">
        <v>165</v>
      </c>
      <c r="I114" t="n">
        <v>10240</v>
      </c>
      <c r="J114" t="n">
        <v>1209</v>
      </c>
      <c r="K114" t="n">
        <v>335</v>
      </c>
      <c r="L114" t="n">
        <v>316</v>
      </c>
      <c r="M114" t="n">
        <v>148</v>
      </c>
      <c r="N114" t="n">
        <v>0.742</v>
      </c>
      <c r="O114" t="inlineStr">
        <is>
          <t>This is incredibly relatable.</t>
        </is>
      </c>
      <c r="P114">
        <f>IFERROR((J114+K114+L114+M114)/I114,0)</f>
        <v/>
      </c>
      <c r="Q114">
        <f>IFERROR((2*K114+2*L114+J114)/I114,0)</f>
        <v/>
      </c>
      <c r="R114">
        <f>IFERROR(L114/K114,0)</f>
        <v/>
      </c>
      <c r="S114">
        <f>IF(AND(P114&gt;=0.10,Q114&gt;=0.08,N114&gt;=0.60),"Eligible","Not Eligible")</f>
        <v/>
      </c>
      <c r="T114">
        <f>IFS(P114&gt;=0.20,"A+",P114&gt;=0.15,"A",P114&gt;=0.10,"B",P114&gt;=0.05,"C",TRUE,"D")</f>
        <v/>
      </c>
    </row>
    <row r="115">
      <c r="A115" t="inlineStr">
        <is>
          <t>P114</t>
        </is>
      </c>
      <c r="B115" s="2" t="n">
        <v>46136</v>
      </c>
      <c r="C115" t="inlineStr">
        <is>
          <t>Dating</t>
        </is>
      </c>
      <c r="D115" t="inlineStr">
        <is>
          <t>Short Video</t>
        </is>
      </c>
      <c r="E115" t="inlineStr">
        <is>
          <t>Text</t>
        </is>
      </c>
      <c r="F115" t="inlineStr">
        <is>
          <t>Night</t>
        </is>
      </c>
      <c r="G115" t="inlineStr">
        <is>
          <t>Story</t>
        </is>
      </c>
      <c r="H115" t="n">
        <v>55</v>
      </c>
      <c r="I115" t="n">
        <v>48221</v>
      </c>
      <c r="J115" t="n">
        <v>4064</v>
      </c>
      <c r="K115" t="n">
        <v>1125</v>
      </c>
      <c r="L115" t="n">
        <v>1063</v>
      </c>
      <c r="M115" t="n">
        <v>500</v>
      </c>
      <c r="N115" t="n">
        <v>0.603</v>
      </c>
      <c r="O115" t="inlineStr">
        <is>
          <t>Interesting perspective and useful advice.</t>
        </is>
      </c>
      <c r="P115">
        <f>IFERROR((J115+K115+L115+M115)/I115,0)</f>
        <v/>
      </c>
      <c r="Q115">
        <f>IFERROR((2*K115+2*L115+J115)/I115,0)</f>
        <v/>
      </c>
      <c r="R115">
        <f>IFERROR(L115/K115,0)</f>
        <v/>
      </c>
      <c r="S115">
        <f>IF(AND(P115&gt;=0.10,Q115&gt;=0.08,N115&gt;=0.60),"Eligible","Not Eligible")</f>
        <v/>
      </c>
      <c r="T115">
        <f>IFS(P115&gt;=0.20,"A+",P115&gt;=0.15,"A",P115&gt;=0.10,"B",P115&gt;=0.05,"C",TRUE,"D")</f>
        <v/>
      </c>
    </row>
    <row r="116">
      <c r="A116" t="inlineStr">
        <is>
          <t>P115</t>
        </is>
      </c>
      <c r="B116" s="2" t="n">
        <v>46137</v>
      </c>
      <c r="C116" t="inlineStr">
        <is>
          <t>Self Confidence</t>
        </is>
      </c>
      <c r="D116" t="inlineStr">
        <is>
          <t>Long Video</t>
        </is>
      </c>
      <c r="E116" t="inlineStr">
        <is>
          <t>Visual</t>
        </is>
      </c>
      <c r="F116" t="inlineStr">
        <is>
          <t>Night</t>
        </is>
      </c>
      <c r="G116" t="inlineStr">
        <is>
          <t>Story</t>
        </is>
      </c>
      <c r="H116" t="n">
        <v>61</v>
      </c>
      <c r="I116" t="n">
        <v>15478</v>
      </c>
      <c r="J116" t="n">
        <v>1246</v>
      </c>
      <c r="K116" t="n">
        <v>345</v>
      </c>
      <c r="L116" t="n">
        <v>326</v>
      </c>
      <c r="M116" t="n">
        <v>153</v>
      </c>
      <c r="N116" t="n">
        <v>0.632</v>
      </c>
      <c r="O116" t="inlineStr">
        <is>
          <t>This is exactly what I struggle with.</t>
        </is>
      </c>
      <c r="P116">
        <f>IFERROR((J116+K116+L116+M116)/I116,0)</f>
        <v/>
      </c>
      <c r="Q116">
        <f>IFERROR((2*K116+2*L116+J116)/I116,0)</f>
        <v/>
      </c>
      <c r="R116">
        <f>IFERROR(L116/K116,0)</f>
        <v/>
      </c>
      <c r="S116">
        <f>IF(AND(P116&gt;=0.10,Q116&gt;=0.08,N116&gt;=0.60),"Eligible","Not Eligible")</f>
        <v/>
      </c>
      <c r="T116">
        <f>IFS(P116&gt;=0.20,"A+",P116&gt;=0.15,"A",P116&gt;=0.10,"B",P116&gt;=0.05,"C",TRUE,"D")</f>
        <v/>
      </c>
    </row>
    <row r="117">
      <c r="A117" t="inlineStr">
        <is>
          <t>P116</t>
        </is>
      </c>
      <c r="B117" s="2" t="n">
        <v>46138</v>
      </c>
      <c r="C117" t="inlineStr">
        <is>
          <t>Overthinking</t>
        </is>
      </c>
      <c r="D117" t="inlineStr">
        <is>
          <t>Short Video</t>
        </is>
      </c>
      <c r="E117" t="inlineStr">
        <is>
          <t>Text</t>
        </is>
      </c>
      <c r="F117" t="inlineStr">
        <is>
          <t>Night</t>
        </is>
      </c>
      <c r="G117" t="inlineStr">
        <is>
          <t>Advice</t>
        </is>
      </c>
      <c r="H117" t="n">
        <v>15</v>
      </c>
      <c r="I117" t="n">
        <v>24262</v>
      </c>
      <c r="J117" t="n">
        <v>3212</v>
      </c>
      <c r="K117" t="n">
        <v>889</v>
      </c>
      <c r="L117" t="n">
        <v>840</v>
      </c>
      <c r="M117" t="n">
        <v>395</v>
      </c>
      <c r="N117" t="n">
        <v>0.61</v>
      </c>
      <c r="O117" t="inlineStr">
        <is>
          <t>My brain does this all the time.</t>
        </is>
      </c>
      <c r="P117">
        <f>IFERROR((J117+K117+L117+M117)/I117,0)</f>
        <v/>
      </c>
      <c r="Q117">
        <f>IFERROR((2*K117+2*L117+J117)/I117,0)</f>
        <v/>
      </c>
      <c r="R117">
        <f>IFERROR(L117/K117,0)</f>
        <v/>
      </c>
      <c r="S117">
        <f>IF(AND(P117&gt;=0.10,Q117&gt;=0.08,N117&gt;=0.60),"Eligible","Not Eligible")</f>
        <v/>
      </c>
      <c r="T117">
        <f>IFS(P117&gt;=0.20,"A+",P117&gt;=0.15,"A",P117&gt;=0.10,"B",P117&gt;=0.05,"C",TRUE,"D")</f>
        <v/>
      </c>
    </row>
    <row r="118">
      <c r="A118" t="inlineStr">
        <is>
          <t>P117</t>
        </is>
      </c>
      <c r="B118" s="2" t="n">
        <v>46139</v>
      </c>
      <c r="C118" t="inlineStr">
        <is>
          <t>Social Anxiety</t>
        </is>
      </c>
      <c r="D118" t="inlineStr">
        <is>
          <t>Long Video</t>
        </is>
      </c>
      <c r="E118" t="inlineStr">
        <is>
          <t>Visual</t>
        </is>
      </c>
      <c r="F118" t="inlineStr">
        <is>
          <t>Morning</t>
        </is>
      </c>
      <c r="G118" t="inlineStr">
        <is>
          <t>Question</t>
        </is>
      </c>
      <c r="H118" t="n">
        <v>172</v>
      </c>
      <c r="I118" t="n">
        <v>9432</v>
      </c>
      <c r="J118" t="n">
        <v>798</v>
      </c>
      <c r="K118" t="n">
        <v>221</v>
      </c>
      <c r="L118" t="n">
        <v>208</v>
      </c>
      <c r="M118" t="n">
        <v>98</v>
      </c>
      <c r="N118" t="n">
        <v>0.5639999999999999</v>
      </c>
      <c r="O118" t="inlineStr">
        <is>
          <t>This is exactly how I feel in social situations.</t>
        </is>
      </c>
      <c r="P118">
        <f>IFERROR((J118+K118+L118+M118)/I118,0)</f>
        <v/>
      </c>
      <c r="Q118">
        <f>IFERROR((2*K118+2*L118+J118)/I118,0)</f>
        <v/>
      </c>
      <c r="R118">
        <f>IFERROR(L118/K118,0)</f>
        <v/>
      </c>
      <c r="S118">
        <f>IF(AND(P118&gt;=0.10,Q118&gt;=0.08,N118&gt;=0.60),"Eligible","Not Eligible")</f>
        <v/>
      </c>
      <c r="T118">
        <f>IFS(P118&gt;=0.20,"A+",P118&gt;=0.15,"A",P118&gt;=0.10,"B",P118&gt;=0.05,"C",TRUE,"D")</f>
        <v/>
      </c>
    </row>
    <row r="119">
      <c r="A119" t="inlineStr">
        <is>
          <t>P118</t>
        </is>
      </c>
      <c r="B119" s="2" t="n">
        <v>46140</v>
      </c>
      <c r="C119" t="inlineStr">
        <is>
          <t>Dating</t>
        </is>
      </c>
      <c r="D119" t="inlineStr">
        <is>
          <t>Short Video</t>
        </is>
      </c>
      <c r="E119" t="inlineStr">
        <is>
          <t>Text</t>
        </is>
      </c>
      <c r="F119" t="inlineStr">
        <is>
          <t>Evening</t>
        </is>
      </c>
      <c r="G119" t="inlineStr">
        <is>
          <t>Advice</t>
        </is>
      </c>
      <c r="H119" t="n">
        <v>27</v>
      </c>
      <c r="I119" t="n">
        <v>34721</v>
      </c>
      <c r="J119" t="n">
        <v>4578</v>
      </c>
      <c r="K119" t="n">
        <v>1267</v>
      </c>
      <c r="L119" t="n">
        <v>1197</v>
      </c>
      <c r="M119" t="n">
        <v>563</v>
      </c>
      <c r="N119" t="n">
        <v>0.63</v>
      </c>
      <c r="O119" t="inlineStr">
        <is>
          <t>Not really relatable to me.</t>
        </is>
      </c>
      <c r="P119">
        <f>IFERROR((J119+K119+L119+M119)/I119,0)</f>
        <v/>
      </c>
      <c r="Q119">
        <f>IFERROR((2*K119+2*L119+J119)/I119,0)</f>
        <v/>
      </c>
      <c r="R119">
        <f>IFERROR(L119/K119,0)</f>
        <v/>
      </c>
      <c r="S119">
        <f>IF(AND(P119&gt;=0.10,Q119&gt;=0.08,N119&gt;=0.60),"Eligible","Not Eligible")</f>
        <v/>
      </c>
      <c r="T119">
        <f>IFS(P119&gt;=0.20,"A+",P119&gt;=0.15,"A",P119&gt;=0.10,"B",P119&gt;=0.05,"C",TRUE,"D")</f>
        <v/>
      </c>
    </row>
    <row r="120">
      <c r="A120" t="inlineStr">
        <is>
          <t>P119</t>
        </is>
      </c>
      <c r="B120" s="2" t="n">
        <v>46141</v>
      </c>
      <c r="C120" t="inlineStr">
        <is>
          <t>Overthinking</t>
        </is>
      </c>
      <c r="D120" t="inlineStr">
        <is>
          <t>Carousel</t>
        </is>
      </c>
      <c r="E120" t="inlineStr">
        <is>
          <t>Visual</t>
        </is>
      </c>
      <c r="F120" t="inlineStr">
        <is>
          <t>Night</t>
        </is>
      </c>
      <c r="G120" t="inlineStr">
        <is>
          <t>Story</t>
        </is>
      </c>
      <c r="H120" t="n">
        <v/>
      </c>
      <c r="I120" t="n">
        <v>18568</v>
      </c>
      <c r="J120" t="n">
        <v>1793</v>
      </c>
      <c r="K120" t="n">
        <v>496</v>
      </c>
      <c r="L120" t="n">
        <v>469</v>
      </c>
      <c r="M120" t="n">
        <v>220</v>
      </c>
      <c r="N120" t="n">
        <v>0.649</v>
      </c>
      <c r="O120" t="inlineStr">
        <is>
          <t>I feel understood by this post.</t>
        </is>
      </c>
      <c r="P120">
        <f>IFERROR((J120+K120+L120+M120)/I120,0)</f>
        <v/>
      </c>
      <c r="Q120">
        <f>IFERROR((2*K120+2*L120+J120)/I120,0)</f>
        <v/>
      </c>
      <c r="R120">
        <f>IFERROR(L120/K120,0)</f>
        <v/>
      </c>
      <c r="S120">
        <f>IF(AND(P120&gt;=0.10,Q120&gt;=0.08,N120&gt;=0.60),"Eligible","Not Eligible")</f>
        <v/>
      </c>
      <c r="T120">
        <f>IFS(P120&gt;=0.20,"A+",P120&gt;=0.15,"A",P120&gt;=0.10,"B",P120&gt;=0.05,"C",TRUE,"D")</f>
        <v/>
      </c>
    </row>
    <row r="121">
      <c r="A121" t="inlineStr">
        <is>
          <t>P120</t>
        </is>
      </c>
      <c r="B121" s="2" t="n">
        <v>46142</v>
      </c>
      <c r="C121" t="inlineStr">
        <is>
          <t>Social Anxiety</t>
        </is>
      </c>
      <c r="D121" t="inlineStr">
        <is>
          <t>Short Video</t>
        </is>
      </c>
      <c r="E121" t="inlineStr">
        <is>
          <t>Text</t>
        </is>
      </c>
      <c r="F121" t="inlineStr">
        <is>
          <t>Afternoon</t>
        </is>
      </c>
      <c r="G121" t="inlineStr">
        <is>
          <t>Question</t>
        </is>
      </c>
      <c r="H121" t="n">
        <v>39</v>
      </c>
      <c r="I121" t="n">
        <v>19178</v>
      </c>
      <c r="J121" t="n">
        <v>1599</v>
      </c>
      <c r="K121" t="n">
        <v>442</v>
      </c>
      <c r="L121" t="n">
        <v>418</v>
      </c>
      <c r="M121" t="n">
        <v>196</v>
      </c>
      <c r="N121" t="n">
        <v>0.608</v>
      </c>
      <c r="O121" t="inlineStr">
        <is>
          <t>Very relatable, this explained my feelings perfectly.</t>
        </is>
      </c>
      <c r="P121">
        <f>IFERROR((J121+K121+L121+M121)/I121,0)</f>
        <v/>
      </c>
      <c r="Q121">
        <f>IFERROR((2*K121+2*L121+J121)/I121,0)</f>
        <v/>
      </c>
      <c r="R121">
        <f>IFERROR(L121/K121,0)</f>
        <v/>
      </c>
      <c r="S121">
        <f>IF(AND(P121&gt;=0.10,Q121&gt;=0.08,N121&gt;=0.60),"Eligible","Not Eligible")</f>
        <v/>
      </c>
      <c r="T121">
        <f>IFS(P121&gt;=0.20,"A+",P121&gt;=0.15,"A",P121&gt;=0.10,"B",P121&gt;=0.05,"C",TRUE,"D")</f>
        <v/>
      </c>
    </row>
  </sheetData>
  <autoFilter ref="A1:T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Useful Excel formulas</t>
        </is>
      </c>
    </row>
    <row r="3">
      <c r="A3" t="inlineStr">
        <is>
          <t>Engagement Rate</t>
        </is>
      </c>
      <c r="B3">
        <f>IFERROR((Likes+Shares+Saves+Comments_Count)/Impressions,0)</f>
        <v/>
      </c>
    </row>
    <row r="4">
      <c r="A4" t="inlineStr">
        <is>
          <t>Viral Coefficient</t>
        </is>
      </c>
      <c r="B4">
        <f>IFERROR((2*Shares+2*Saves+Likes)/Impressions,0)</f>
        <v/>
      </c>
    </row>
    <row r="5">
      <c r="A5" t="inlineStr">
        <is>
          <t>Save-to-Share Ratio</t>
        </is>
      </c>
      <c r="B5">
        <f>IFERROR(Saves/Shares,0)</f>
        <v/>
      </c>
    </row>
    <row r="6">
      <c r="A6" t="inlineStr">
        <is>
          <t>Eligibility</t>
        </is>
      </c>
      <c r="B6">
        <f>IF(AND(Engagement_Rate&gt;=0.10,Viral_Coefficient&gt;=0.08,Retention_Rate&gt;=0.60),"Eligible","Not Eligible")</f>
        <v/>
      </c>
    </row>
    <row r="7">
      <c r="A7" t="inlineStr">
        <is>
          <t>Grade</t>
        </is>
      </c>
      <c r="B7">
        <f>IFS(Engagement_Rate&gt;=0.20,"A+",Engagement_Rate&gt;=0.15,"A",Engagement_Rate&gt;=0.10,"B",Engagement_Rate&gt;=0.05,"C",TRUE,"D")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2026-09-02T07:14:38Z</dcterms:created>
  <dcterms:modified xmlns:dcterms="http://purl.org/dc/terms/" xmlns:xsi="http://www.w3.org/2001/XMLSchema-instance" xsi:type="dcterms:W3CDTF">2026-09-02T07:14:38Z</dcterms:modified>
</cp:coreProperties>
</file>